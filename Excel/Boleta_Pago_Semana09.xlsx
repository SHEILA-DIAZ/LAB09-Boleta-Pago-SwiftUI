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ámetros" sheetId="1" r:id="rId1"/>
    <sheet name="Boleta" sheetId="2" r:id="rId2"/>
    <sheet name="Casos" sheetId="3" r:id="rId3"/>
    <sheet name="Explicación" sheetId="4" r:id="rId4"/>
  </sheets>
  <definedNames>
    <definedName name="_xlnm._FilterDatabase" localSheetId="2" hidden="1">Casos!$A$3:$AA$19</definedName>
    <definedName name="DiasMes">'Parámetros'!$B$8</definedName>
    <definedName name="Factor25">'Parámetros'!$B$10</definedName>
    <definedName name="Factor35">'Parámetros'!$B$11</definedName>
    <definedName name="HorasDia">'Parámetros'!$B$9</definedName>
    <definedName name="ListaAFP">'Parámetros'!$A$15:$A$19</definedName>
    <definedName name="_xlnm.Print_Area" localSheetId="1">Boleta!$A$1:$D$33</definedName>
    <definedName name="RMV">'Parámetros'!$B$4</definedName>
    <definedName name="TasaAF">'Parámetros'!$B$5</definedName>
    <definedName name="TasaEsSalud">'Parámetros'!$B$7</definedName>
    <definedName name="TasaONP">'Parámetros'!$B$6</definedName>
  </definedNames>
  <calcPr calcId="124519" fullCalcOnLoad="1"/>
</workbook>
</file>

<file path=xl/sharedStrings.xml><?xml version="1.0" encoding="utf-8"?>
<sst xmlns="http://schemas.openxmlformats.org/spreadsheetml/2006/main" count="366" uniqueCount="199">
  <si>
    <t>SEMANA 9 · PARÁMETROS EDITABLES</t>
  </si>
  <si>
    <t>Parámetro</t>
  </si>
  <si>
    <t>Valor</t>
  </si>
  <si>
    <t>Unidad</t>
  </si>
  <si>
    <t>Fuente / observación</t>
  </si>
  <si>
    <t>Consulta</t>
  </si>
  <si>
    <t>RMV</t>
  </si>
  <si>
    <t>S/</t>
  </si>
  <si>
    <t>https://busquedas.elperuano.pe/dispositivo/NL/2559163-1</t>
  </si>
  <si>
    <t>2026-10-26</t>
  </si>
  <si>
    <t>Asignación familiar</t>
  </si>
  <si>
    <t>% RMV</t>
  </si>
  <si>
    <t>https://www.gob.pe/institucion/mtpe/noticias/601761-quienes-tienen-derecho-a-percibir-la-asignacion-familiar</t>
  </si>
  <si>
    <t>ONP</t>
  </si>
  <si>
    <t>% remuneraciones</t>
  </si>
  <si>
    <t>https://www.gob.pe/institucion/onp/noticias/1190488-como-saber-si-tu-empleador-esta-pagando-tus-aportes-al-snp</t>
  </si>
  <si>
    <t>EsSalud</t>
  </si>
  <si>
    <t>https://www.sunat.gob.pe/legislacion/oficios/2007/oficios/i0032007.htm</t>
  </si>
  <si>
    <t>Días del mes</t>
  </si>
  <si>
    <t>días</t>
  </si>
  <si>
    <t>Guía sección 4</t>
  </si>
  <si>
    <t>Horas de jornada</t>
  </si>
  <si>
    <t>horas</t>
  </si>
  <si>
    <t>Factor extra 25%</t>
  </si>
  <si>
    <t>multiplicador</t>
  </si>
  <si>
    <t>https://www.gob.pe/institucion/sunafil/noticias/1100081-conoce-las-diferencias-entre-trabajo-forzoso-y-trabajo-en-sobretiempo</t>
  </si>
  <si>
    <t>Factor extra 35%</t>
  </si>
  <si>
    <t>AFP</t>
  </si>
  <si>
    <t>Fondo</t>
  </si>
  <si>
    <t>Comisión flujo</t>
  </si>
  <si>
    <t>Seguro</t>
  </si>
  <si>
    <t>Fuente</t>
  </si>
  <si>
    <t>Ejemplo</t>
  </si>
  <si>
    <t>Guía: prueba</t>
  </si>
  <si>
    <t>Habitat (flujo)</t>
  </si>
  <si>
    <t>https://www.sbs.gob.pe/app/spp/empleadores/comisiones_spp/Paginas/comision_prima.aspx</t>
  </si>
  <si>
    <t>Integra (flujo)</t>
  </si>
  <si>
    <t>Prima (flujo)</t>
  </si>
  <si>
    <t>Profuturo (flujo)</t>
  </si>
  <si>
    <t>Amarillo = editable. Casos 1–4: RMV 1230 y AFP Ejemplo. AFP reales: modalidad flujo, devengue octubre 2026. No se aplica tope de seguro ni base mínima EsSalud por simplificación de la guía. No se modela comisión sobre saldo ni renta de quinta.</t>
  </si>
  <si>
    <t>Dato</t>
  </si>
  <si>
    <t>Alcance</t>
  </si>
  <si>
    <t>1230; desde 01/10/2026 según guía</t>
  </si>
  <si>
    <t>D.S. 015-2026-TR; índice oficial localizado; ver fuentes.md</t>
  </si>
  <si>
    <t>10% RMV = 123</t>
  </si>
  <si>
    <t>Ley 25129; no prorratear en este laboratorio</t>
  </si>
  <si>
    <t>13%</t>
  </si>
  <si>
    <t>D.L. 19990</t>
  </si>
  <si>
    <t>9%</t>
  </si>
  <si>
    <t>Ley 26790; la guía excluye base mínima</t>
  </si>
  <si>
    <t>Horas extras</t>
  </si>
  <si>
    <t>25% y 35%</t>
  </si>
  <si>
    <t>D.S. 007-2002-TR; horas ingresadas por tramo</t>
  </si>
  <si>
    <t>AFP Ejemplo</t>
  </si>
  <si>
    <t>10%; 1.60%; 1.35%</t>
  </si>
  <si>
    <t>Actividad_Grupo_B.docx, sección 4</t>
  </si>
  <si>
    <t>Tasas ficticias de prueba, no tasas SBS</t>
  </si>
  <si>
    <t>AFP reales: flujo</t>
  </si>
  <si>
    <t>Habitat 1.47%; Integra 1.55%; Prima 1.60%; Profuturo 1.69%</t>
  </si>
  <si>
    <t>Fondo 10%; seguro 1.37%; devengue 2026-10</t>
  </si>
  <si>
    <t>Oferta propia</t>
  </si>
  <si>
    <t>3500–4000 mensuales; se toma 3500</t>
  </si>
  <si>
    <t>https://pe.indeed.com/viewjob?jk=1a5d74a196f5ecab</t>
  </si>
  <si>
    <t>Desarrollador Full Stack; solo sueldo publicado, personas ficticias</t>
  </si>
  <si>
    <t>Base mensual y jornada</t>
  </si>
  <si>
    <t>30 días; 8 horas</t>
  </si>
  <si>
    <t>Convención académica</t>
  </si>
  <si>
    <t>Redondeo</t>
  </si>
  <si>
    <t>2 decimales por concepto antes de sumar</t>
  </si>
  <si>
    <t>Mitades alejándose de cero; valor hora sin redondeo previo</t>
  </si>
  <si>
    <t>BOLETA DE EJEMPLO · DEL SUELDO AL NETO</t>
  </si>
  <si>
    <t>Edita amarillo. Fórmulas en B; texto visible en C. Sin renta de quinta categoría.</t>
  </si>
  <si>
    <t>Entrada</t>
  </si>
  <si>
    <t>Valor editable</t>
  </si>
  <si>
    <t>Regla</t>
  </si>
  <si>
    <t>Ayuda</t>
  </si>
  <si>
    <t>Sueldo básico</t>
  </si>
  <si>
    <t>Mayor que 0; hasta 2 decimales</t>
  </si>
  <si>
    <t>Días laborados</t>
  </si>
  <si>
    <t>Entero de 1 a 30</t>
  </si>
  <si>
    <t>¿Tiene hijos?</t>
  </si>
  <si>
    <t>No</t>
  </si>
  <si>
    <t>No / Sí</t>
  </si>
  <si>
    <t>Sistema</t>
  </si>
  <si>
    <t>ONP / AFP</t>
  </si>
  <si>
    <t>Solo se utiliza si eliges AFP</t>
  </si>
  <si>
    <t>Horas extras 25%</t>
  </si>
  <si>
    <t>No negativas; hasta 2 decimales</t>
  </si>
  <si>
    <t>Horas extras 35%</t>
  </si>
  <si>
    <t>Adelantos</t>
  </si>
  <si>
    <t>No negativos; hasta 2 decimales</t>
  </si>
  <si>
    <t>Validación</t>
  </si>
  <si>
    <t>Los campos numéricos son obligatorios. Si pegas datos inválidos, se oculta el cálculo.</t>
  </si>
  <si>
    <t>Concepto</t>
  </si>
  <si>
    <t>Monto (S/)</t>
  </si>
  <si>
    <t>Fórmula visible</t>
  </si>
  <si>
    <t>Bloque</t>
  </si>
  <si>
    <t>Sueldo computable</t>
  </si>
  <si>
    <t>Remuneraciones</t>
  </si>
  <si>
    <t>Total remuneraciones</t>
  </si>
  <si>
    <t>Retenciones / descuentos</t>
  </si>
  <si>
    <t>AFP fondo</t>
  </si>
  <si>
    <t>AFP comisión</t>
  </si>
  <si>
    <t>AFP seguro</t>
  </si>
  <si>
    <t>Total descuentos</t>
  </si>
  <si>
    <t>Neto a pagar</t>
  </si>
  <si>
    <t>Neto</t>
  </si>
  <si>
    <t>Empleador</t>
  </si>
  <si>
    <t>Costo empleador</t>
  </si>
  <si>
    <t>EsSalud se informa aparte: no reduce el neto. Valor hora no se redondea antes de calcular cada tramo. Un neto negativo señala adelantos excesivos; no se reemplaza por cero.</t>
  </si>
  <si>
    <t>CASOS · CONTROL CRUZADO CON SWIFT</t>
  </si>
  <si>
    <t>Filas 4–7: guía. Filas 8–10: oferta y sensibilidades, no resultados de compañeros. Editar entradas invalida el contraste original.</t>
  </si>
  <si>
    <t>Caso</t>
  </si>
  <si>
    <t>Sueldo</t>
  </si>
  <si>
    <t>Días</t>
  </si>
  <si>
    <t>Hijos</t>
  </si>
  <si>
    <t>HE25</t>
  </si>
  <si>
    <t>HE35</t>
  </si>
  <si>
    <t>Adelanto</t>
  </si>
  <si>
    <t>Neto oficial</t>
  </si>
  <si>
    <t>Contraste guía</t>
  </si>
  <si>
    <t>Neto / remuneraciones</t>
  </si>
  <si>
    <t>Referencia</t>
  </si>
  <si>
    <t>Caso 1</t>
  </si>
  <si>
    <t>Guía / prueba automática</t>
  </si>
  <si>
    <t>Caso 2</t>
  </si>
  <si>
    <t>Sí</t>
  </si>
  <si>
    <t>Caso 3</t>
  </si>
  <si>
    <t>Caso 4</t>
  </si>
  <si>
    <t>Calculado; sin respuesta oficial</t>
  </si>
  <si>
    <t>Propio: oferta 3500 ONP</t>
  </si>
  <si>
    <t>Comparar con Swift</t>
  </si>
  <si>
    <t>Sensibilidad A: 3750 AFP Prima (no compañero)</t>
  </si>
  <si>
    <t>Sensibilidad B: 4000 AFP Habitat (no compañero)</t>
  </si>
  <si>
    <t>Caso 3 con ONP</t>
  </si>
  <si>
    <t>Caso 2 con 30 días</t>
  </si>
  <si>
    <t>Redondeo valor hora</t>
  </si>
  <si>
    <t>Empate medio centavo</t>
  </si>
  <si>
    <t>Neto negativo permitido</t>
  </si>
  <si>
    <t>AFP Habitat (flujo)</t>
  </si>
  <si>
    <t>AFP Integra (flujo)</t>
  </si>
  <si>
    <t>AFP Prima (flujo)</t>
  </si>
  <si>
    <t>AFP Profuturo (flujo)</t>
  </si>
  <si>
    <t>PENDIENTE: resultados reales de dos compañeros (no inventados)</t>
  </si>
  <si>
    <t>Compañero ficticio/alias</t>
  </si>
  <si>
    <t>Oferta y fecha</t>
  </si>
  <si>
    <t>% neto/bruto</t>
  </si>
  <si>
    <t>Observación</t>
  </si>
  <si>
    <t>Por completar</t>
  </si>
  <si>
    <t>Solicitar boleta y fuente a un compañero</t>
  </si>
  <si>
    <t>CADA FÓRMULA EN PALABRAS</t>
  </si>
  <si>
    <t>Explicación sencilla</t>
  </si>
  <si>
    <t>Ejemplo numérico</t>
  </si>
  <si>
    <t>Fórmula Excel en Boleta</t>
  </si>
  <si>
    <t>Divide el sueldo entre 30 y multiplícalo por los días trabajados.</t>
  </si>
  <si>
    <t>Caso 2: 1800 / 30 × 27 = 1620.00</t>
  </si>
  <si>
    <t>=ROUND(ROUND(B4/DiasMes*B5*100,8),0)/100</t>
  </si>
  <si>
    <t>Si tiene hijos, entrega el 10% de RMV completo; no lo dividas por días.</t>
  </si>
  <si>
    <t>Caso 2: 1230 × 10% = 123.00</t>
  </si>
  <si>
    <t>=IF(B6="Sí",ROUND(RMV*TasaAF,2),0)</t>
  </si>
  <si>
    <t>Divide sueldo entre 30 y 8, aumenta 25% y multiplica por las horas de este tramo.</t>
  </si>
  <si>
    <t>Caso 3: 3000 / 30 / 8 × 1.25 × 4 = 62.50</t>
  </si>
  <si>
    <t>=ROUND(ROUND(B4/DiasMes/HorasDia*Factor25*B9*100,8),0)/100</t>
  </si>
  <si>
    <t>Usa el valor hora sin redondear, aumenta 35% y multiplica por las horas de este tramo.</t>
  </si>
  <si>
    <t>Caso 3: 12.50 × 1.35 × 4 = 67.50</t>
  </si>
  <si>
    <t>=ROUND(ROUND(B4/DiasMes/HorasDia*Factor35*B10*100,8),0)/100</t>
  </si>
  <si>
    <t>Suma sueldo computable, asignación y ambos tramos, ya redondeados.</t>
  </si>
  <si>
    <t>Caso 3: 3000 + 123 + 62.50 + 67.50 = 3253.00</t>
  </si>
  <si>
    <t>=SUM(B17:B20)</t>
  </si>
  <si>
    <t>Si eligió ONP, retén el 13% de todas las remuneraciones; si AFP, muestra cero.</t>
  </si>
  <si>
    <t>Caso 2: 1743 × 13% = 226.59</t>
  </si>
  <si>
    <t>=IF(B7="ONP",ROUND(B21*TasaONP,2),0)</t>
  </si>
  <si>
    <t>Si eligió AFP, multiplica remuneraciones por tasa del fondo de la AFP elegida.</t>
  </si>
  <si>
    <t>Caso 3: 3253 × 10% = 325.30</t>
  </si>
  <si>
    <t>=IF(B7="AFP",ROUND(B21*VLOOKUP(B8,'Parámetros'!$A$15:$D$19,2,FALSE),2),0)</t>
  </si>
  <si>
    <t>Multiplica remuneraciones por la comisión de flujo, redondeada individualmente.</t>
  </si>
  <si>
    <t>Caso 3: 3253 × 1.60% = 52.048 → 52.05</t>
  </si>
  <si>
    <t>=IF(B7="AFP",ROUND(B21*VLOOKUP(B8,'Parámetros'!$A$15:$D$19,3,FALSE),2),0)</t>
  </si>
  <si>
    <t>Multiplica remuneraciones por la prima de seguro y redondea.</t>
  </si>
  <si>
    <t>Caso 3: 3253 × 1.35% = 43.9155 → 43.92</t>
  </si>
  <si>
    <t>=IF(B7="AFP",ROUND(B21*VLOOKUP(B8,'Parámetros'!$A$15:$D$19,4,FALSE),2),0)</t>
  </si>
  <si>
    <t>Copia el adelanto, que ya tiene como máximo dos decimales.</t>
  </si>
  <si>
    <t>Caso 3: 200.00</t>
  </si>
  <si>
    <t>=B11</t>
  </si>
  <si>
    <t>Suma ONP o los tres aportes AFP y agrega adelantos.</t>
  </si>
  <si>
    <t>Caso 3: 325.30 + 52.05 + 43.92 + 200 = 621.27</t>
  </si>
  <si>
    <t>=SUM(B22:B26)</t>
  </si>
  <si>
    <t>Resta todos los descuentos del total de remuneraciones.</t>
  </si>
  <si>
    <t>Caso 3: 3253.00 − 621.27 = 2631.73</t>
  </si>
  <si>
    <t>=B21-B27</t>
  </si>
  <si>
    <t>Calcula 9% de remuneraciones; lo paga la empresa adicionalmente.</t>
  </si>
  <si>
    <t>Caso 3: 3253 × 9% = 292.77</t>
  </si>
  <si>
    <t>=ROUND(B21*TasaEsSalud,2)</t>
  </si>
  <si>
    <t>Suma remuneraciones y EsSalud para este costo mensual simplificado.</t>
  </si>
  <si>
    <t>Caso 3: 3253 + 292.77 = 3545.77</t>
  </si>
  <si>
    <t>=B21+B29</t>
  </si>
  <si>
    <t>Redondeo: 2 decimales por concepto, luego SUM. Sueldo y HE usan ROUND(ROUND(importe*100,8),0)/100: normalizar residuos a 8 decimales de céntimo y redondear a céntimos enteros. Ejemplo 1.2549999999999999 → 125.5 → 126 → 1.26. No se redondea el valor hora por separado.</t>
  </si>
  <si>
    <t>Lectura: revisa Parámetros → edita Boleta → examina Casos → explica cada paso. Ctrl+` alterna fórmulas; C en Boleta ya muestra FORMULATEXT. Cambiar tasas recalcula todos los casos; los esperados oficiales permanecen fijos.</t>
  </si>
  <si>
    <t>Análisis completo y fuentes en docs/analisis.md y docs/fuentes.md. Las sensibilidades de la oferta no sustituyen la comparación con dos compañeros, que queda pendiente de sus resultados reales.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</si>
</sst>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.00;[Red]-#,##0.00"/>
  </numFmts>
  <fonts count="3">
    <font>
      <sz val="11"/>
      <color theme="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0" fontId="0" fillId="4" borderId="1" xfId="0" applyFill="1" applyBorder="1"/>
    <xf numFmtId="166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squedas.elperuano.pe/dispositivo/NL/2559163-1" TargetMode="External"/><Relationship Id="rId2" Type="http://schemas.openxmlformats.org/officeDocument/2006/relationships/hyperlink" Target="https://www.gob.pe/institucion/mtpe/noticias/601761-quienes-tienen-derecho-a-percibir-la-asignacion-familiar" TargetMode="External"/><Relationship Id="rId3" Type="http://schemas.openxmlformats.org/officeDocument/2006/relationships/hyperlink" Target="https://www.gob.pe/institucion/onp/noticias/1190488-como-saber-si-tu-empleador-esta-pagando-tus-aportes-al-snp" TargetMode="External"/><Relationship Id="rId4" Type="http://schemas.openxmlformats.org/officeDocument/2006/relationships/hyperlink" Target="https://www.sunat.gob.pe/legislacion/oficios/2007/oficios/i0032007.htm" TargetMode="External"/><Relationship Id="rId5" Type="http://schemas.openxmlformats.org/officeDocument/2006/relationships/hyperlink" Target="https://www.gob.pe/institucion/sunafil/noticias/1100081-conoce-las-diferencias-entre-trabajo-forzoso-y-trabajo-en-sobretiempo" TargetMode="External"/><Relationship Id="rId6" Type="http://schemas.openxmlformats.org/officeDocument/2006/relationships/hyperlink" Target="https://www.gob.pe/institucion/sunafil/noticias/1100081-conoce-las-diferencias-entre-trabajo-forzoso-y-trabajo-en-sobretiempo" TargetMode="External"/><Relationship Id="rId7" Type="http://schemas.openxmlformats.org/officeDocument/2006/relationships/hyperlink" Target="https://www.sbs.gob.pe/app/spp/empleadores/comisiones_spp/Paginas/comision_prima.aspx" TargetMode="External"/><Relationship Id="rId8" Type="http://schemas.openxmlformats.org/officeDocument/2006/relationships/hyperlink" Target="https://www.sbs.gob.pe/app/spp/empleadores/comisiones_spp/Paginas/comision_prima.aspx" TargetMode="External"/><Relationship Id="rId9" Type="http://schemas.openxmlformats.org/officeDocument/2006/relationships/hyperlink" Target="https://www.sbs.gob.pe/app/spp/empleadores/comisiones_spp/Paginas/comision_prima.aspx" TargetMode="External"/><Relationship Id="rId10" Type="http://schemas.openxmlformats.org/officeDocument/2006/relationships/hyperlink" Target="https://www.sbs.gob.pe/app/spp/empleadores/comisiones_spp/Paginas/comision_prima.aspx" TargetMode="External"/><Relationship Id="rId11" Type="http://schemas.openxmlformats.org/officeDocument/2006/relationships/hyperlink" Target="https://busquedas.elperuano.pe/dispositivo/NL/2559163-1" TargetMode="External"/><Relationship Id="rId12" Type="http://schemas.openxmlformats.org/officeDocument/2006/relationships/hyperlink" Target="https://www.gob.pe/institucion/mtpe/noticias/601761-quienes-tienen-derecho-a-percibir-la-asignacion-familiar" TargetMode="External"/><Relationship Id="rId13" Type="http://schemas.openxmlformats.org/officeDocument/2006/relationships/hyperlink" Target="https://www.gob.pe/institucion/onp/noticias/1190488-como-saber-si-tu-empleador-esta-pagando-tus-aportes-al-snp" TargetMode="External"/><Relationship Id="rId14" Type="http://schemas.openxmlformats.org/officeDocument/2006/relationships/hyperlink" Target="https://www.sunat.gob.pe/legislacion/oficios/2007/oficios/i0032007.htm" TargetMode="External"/><Relationship Id="rId15" Type="http://schemas.openxmlformats.org/officeDocument/2006/relationships/hyperlink" Target="https://www.gob.pe/institucion/sunafil/noticias/1100081-conoce-las-diferencias-entre-trabajo-forzoso-y-trabajo-en-sobretiempo" TargetMode="External"/><Relationship Id="rId16" Type="http://schemas.openxmlformats.org/officeDocument/2006/relationships/hyperlink" Target="https://www.sbs.gob.pe/app/spp/empleadores/comisiones_spp/Paginas/comision_prima.aspx" TargetMode="External"/><Relationship Id="rId17" Type="http://schemas.openxmlformats.org/officeDocument/2006/relationships/hyperlink" Target="https://pe.indeed.com/viewjob?jk=1a5d74a196f5eca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e.indeed.com/viewjob?jk=1a5d74a196f5ecab" TargetMode="External"/><Relationship Id="rId2" Type="http://schemas.openxmlformats.org/officeDocument/2006/relationships/hyperlink" Target="https://pe.indeed.com/viewjob?jk=1a5d74a196f5ecab" TargetMode="External"/><Relationship Id="rId3" Type="http://schemas.openxmlformats.org/officeDocument/2006/relationships/hyperlink" Target="https://pe.indeed.com/viewjob?jk=1a5d74a196f5ec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6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3" width="24.7109375" customWidth="1"/>
    <col min="4" max="4" width="70.7109375" customWidth="1"/>
    <col min="5" max="5" width="45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42" customHeight="1">
      <c r="A4" s="3" t="s">
        <v>6</v>
      </c>
      <c r="B4" s="4">
        <v>1230</v>
      </c>
      <c r="C4" s="3" t="s">
        <v>7</v>
      </c>
      <c r="D4" s="3" t="s">
        <v>8</v>
      </c>
      <c r="E4" s="3" t="s">
        <v>9</v>
      </c>
    </row>
    <row r="5" spans="1:5" ht="42" customHeight="1">
      <c r="A5" s="3" t="s">
        <v>10</v>
      </c>
      <c r="B5" s="5">
        <v>0.1</v>
      </c>
      <c r="C5" s="3" t="s">
        <v>11</v>
      </c>
      <c r="D5" s="3" t="s">
        <v>12</v>
      </c>
      <c r="E5" s="3" t="s">
        <v>9</v>
      </c>
    </row>
    <row r="6" spans="1:5" ht="42" customHeight="1">
      <c r="A6" s="3" t="s">
        <v>13</v>
      </c>
      <c r="B6" s="5">
        <v>0.13</v>
      </c>
      <c r="C6" s="3" t="s">
        <v>14</v>
      </c>
      <c r="D6" s="3" t="s">
        <v>15</v>
      </c>
      <c r="E6" s="3" t="s">
        <v>9</v>
      </c>
    </row>
    <row r="7" spans="1:5" ht="42" customHeight="1">
      <c r="A7" s="3" t="s">
        <v>16</v>
      </c>
      <c r="B7" s="5">
        <v>0.09</v>
      </c>
      <c r="C7" s="3" t="s">
        <v>14</v>
      </c>
      <c r="D7" s="3" t="s">
        <v>17</v>
      </c>
      <c r="E7" s="3" t="s">
        <v>9</v>
      </c>
    </row>
    <row r="8" spans="1:5" ht="42" customHeight="1">
      <c r="A8" s="3" t="s">
        <v>18</v>
      </c>
      <c r="B8" s="4">
        <v>30</v>
      </c>
      <c r="C8" s="3" t="s">
        <v>19</v>
      </c>
      <c r="D8" s="3" t="s">
        <v>20</v>
      </c>
      <c r="E8" s="3" t="s">
        <v>9</v>
      </c>
    </row>
    <row r="9" spans="1:5" ht="42" customHeight="1">
      <c r="A9" s="3" t="s">
        <v>21</v>
      </c>
      <c r="B9" s="4">
        <v>8</v>
      </c>
      <c r="C9" s="3" t="s">
        <v>22</v>
      </c>
      <c r="D9" s="3" t="s">
        <v>20</v>
      </c>
      <c r="E9" s="3" t="s">
        <v>9</v>
      </c>
    </row>
    <row r="10" spans="1:5" ht="42" customHeight="1">
      <c r="A10" s="3" t="s">
        <v>23</v>
      </c>
      <c r="B10" s="4">
        <v>1.25</v>
      </c>
      <c r="C10" s="3" t="s">
        <v>24</v>
      </c>
      <c r="D10" s="3" t="s">
        <v>25</v>
      </c>
      <c r="E10" s="3" t="s">
        <v>9</v>
      </c>
    </row>
    <row r="11" spans="1:5" ht="42" customHeight="1">
      <c r="A11" s="3" t="s">
        <v>26</v>
      </c>
      <c r="B11" s="4">
        <v>1.35</v>
      </c>
      <c r="C11" s="3" t="s">
        <v>24</v>
      </c>
      <c r="D11" s="3" t="s">
        <v>25</v>
      </c>
      <c r="E11" s="3" t="s">
        <v>9</v>
      </c>
    </row>
    <row r="14" spans="1: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</row>
    <row r="15" spans="1:5" ht="39.75" customHeight="1">
      <c r="A15" s="3" t="s">
        <v>32</v>
      </c>
      <c r="B15" s="5">
        <v>0.1</v>
      </c>
      <c r="C15" s="5">
        <v>0.016</v>
      </c>
      <c r="D15" s="5">
        <v>0.0135</v>
      </c>
      <c r="E15" s="3" t="s">
        <v>33</v>
      </c>
    </row>
    <row r="16" spans="1:5" ht="39.75" customHeight="1">
      <c r="A16" s="3" t="s">
        <v>34</v>
      </c>
      <c r="B16" s="5">
        <v>0.1</v>
      </c>
      <c r="C16" s="5">
        <v>0.0147</v>
      </c>
      <c r="D16" s="5">
        <v>0.0137</v>
      </c>
      <c r="E16" s="3" t="s">
        <v>35</v>
      </c>
    </row>
    <row r="17" spans="1:5" ht="39.75" customHeight="1">
      <c r="A17" s="3" t="s">
        <v>36</v>
      </c>
      <c r="B17" s="5">
        <v>0.1</v>
      </c>
      <c r="C17" s="5">
        <v>0.0155</v>
      </c>
      <c r="D17" s="5">
        <v>0.0137</v>
      </c>
      <c r="E17" s="3" t="s">
        <v>35</v>
      </c>
    </row>
    <row r="18" spans="1:5" ht="39.75" customHeight="1">
      <c r="A18" s="3" t="s">
        <v>37</v>
      </c>
      <c r="B18" s="5">
        <v>0.1</v>
      </c>
      <c r="C18" s="5">
        <v>0.016</v>
      </c>
      <c r="D18" s="5">
        <v>0.0137</v>
      </c>
      <c r="E18" s="3" t="s">
        <v>35</v>
      </c>
    </row>
    <row r="19" spans="1:5" ht="39.75" customHeight="1">
      <c r="A19" s="3" t="s">
        <v>38</v>
      </c>
      <c r="B19" s="5">
        <v>0.1</v>
      </c>
      <c r="C19" s="5">
        <v>0.0169</v>
      </c>
      <c r="D19" s="5">
        <v>0.0137</v>
      </c>
      <c r="E19" s="3" t="s">
        <v>35</v>
      </c>
    </row>
    <row r="22" spans="1:5">
      <c r="A22" s="3" t="s">
        <v>39</v>
      </c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6" spans="1:5">
      <c r="A26" s="2" t="s">
        <v>40</v>
      </c>
      <c r="B26" s="2" t="s">
        <v>2</v>
      </c>
      <c r="C26" s="2" t="s">
        <v>31</v>
      </c>
      <c r="D26" s="2" t="s">
        <v>41</v>
      </c>
      <c r="E26" s="2" t="s">
        <v>5</v>
      </c>
    </row>
    <row r="27" spans="1:5" ht="65.25" customHeight="1">
      <c r="A27" s="3" t="s">
        <v>6</v>
      </c>
      <c r="B27" s="3" t="s">
        <v>42</v>
      </c>
      <c r="C27" s="3" t="s">
        <v>8</v>
      </c>
      <c r="D27" s="3" t="s">
        <v>43</v>
      </c>
      <c r="E27" s="3" t="s">
        <v>9</v>
      </c>
    </row>
    <row r="28" spans="1:5" ht="65.25" customHeight="1">
      <c r="A28" s="3" t="s">
        <v>10</v>
      </c>
      <c r="B28" s="3" t="s">
        <v>44</v>
      </c>
      <c r="C28" s="3" t="s">
        <v>12</v>
      </c>
      <c r="D28" s="3" t="s">
        <v>45</v>
      </c>
      <c r="E28" s="3" t="s">
        <v>9</v>
      </c>
    </row>
    <row r="29" spans="1:5" ht="65.25" customHeight="1">
      <c r="A29" s="3" t="s">
        <v>13</v>
      </c>
      <c r="B29" s="3" t="s">
        <v>46</v>
      </c>
      <c r="C29" s="3" t="s">
        <v>15</v>
      </c>
      <c r="D29" s="3" t="s">
        <v>47</v>
      </c>
      <c r="E29" s="3" t="s">
        <v>9</v>
      </c>
    </row>
    <row r="30" spans="1:5" ht="65.25" customHeight="1">
      <c r="A30" s="3" t="s">
        <v>16</v>
      </c>
      <c r="B30" s="3" t="s">
        <v>48</v>
      </c>
      <c r="C30" s="3" t="s">
        <v>17</v>
      </c>
      <c r="D30" s="3" t="s">
        <v>49</v>
      </c>
      <c r="E30" s="3" t="s">
        <v>9</v>
      </c>
    </row>
    <row r="31" spans="1:5" ht="65.25" customHeight="1">
      <c r="A31" s="3" t="s">
        <v>50</v>
      </c>
      <c r="B31" s="3" t="s">
        <v>51</v>
      </c>
      <c r="C31" s="3" t="s">
        <v>25</v>
      </c>
      <c r="D31" s="3" t="s">
        <v>52</v>
      </c>
      <c r="E31" s="3" t="s">
        <v>9</v>
      </c>
    </row>
    <row r="32" spans="1:5" ht="65.25" customHeight="1">
      <c r="A32" s="3" t="s">
        <v>53</v>
      </c>
      <c r="B32" s="3" t="s">
        <v>54</v>
      </c>
      <c r="C32" s="3" t="s">
        <v>55</v>
      </c>
      <c r="D32" s="3" t="s">
        <v>56</v>
      </c>
      <c r="E32" s="3" t="s">
        <v>9</v>
      </c>
    </row>
    <row r="33" spans="1:5" ht="65.25" customHeight="1">
      <c r="A33" s="3" t="s">
        <v>57</v>
      </c>
      <c r="B33" s="3" t="s">
        <v>58</v>
      </c>
      <c r="C33" s="3" t="s">
        <v>35</v>
      </c>
      <c r="D33" s="3" t="s">
        <v>59</v>
      </c>
      <c r="E33" s="3" t="s">
        <v>9</v>
      </c>
    </row>
    <row r="34" spans="1:5" ht="65.25" customHeight="1">
      <c r="A34" s="3" t="s">
        <v>60</v>
      </c>
      <c r="B34" s="3" t="s">
        <v>61</v>
      </c>
      <c r="C34" s="3" t="s">
        <v>62</v>
      </c>
      <c r="D34" s="3" t="s">
        <v>63</v>
      </c>
      <c r="E34" s="3" t="s">
        <v>9</v>
      </c>
    </row>
    <row r="35" spans="1:5" ht="65.25" customHeight="1">
      <c r="A35" s="3" t="s">
        <v>64</v>
      </c>
      <c r="B35" s="3" t="s">
        <v>65</v>
      </c>
      <c r="C35" s="3" t="s">
        <v>55</v>
      </c>
      <c r="D35" s="3" t="s">
        <v>66</v>
      </c>
      <c r="E35" s="3" t="s">
        <v>9</v>
      </c>
    </row>
    <row r="36" spans="1:5" ht="65.25" customHeight="1">
      <c r="A36" s="3" t="s">
        <v>67</v>
      </c>
      <c r="B36" s="3" t="s">
        <v>68</v>
      </c>
      <c r="C36" s="3" t="s">
        <v>55</v>
      </c>
      <c r="D36" s="3" t="s">
        <v>69</v>
      </c>
      <c r="E36" s="3" t="s">
        <v>9</v>
      </c>
    </row>
  </sheetData>
  <mergeCells count="2">
    <mergeCell ref="A1:E1"/>
    <mergeCell ref="A22:E23"/>
  </mergeCells>
  <dataValidations count="8">
    <dataValidation type="decimal" operator="greaterThan" allowBlank="1" showInputMessage="1" showErrorMessage="1" error="El parámetro debe ser positivo." sqref="B4">
      <formula1>0</formula1>
    </dataValidation>
    <dataValidation type="decimal" operator="greaterThan" allowBlank="1" showInputMessage="1" showErrorMessage="1" error="El parámetro debe ser positivo." sqref="B5">
      <formula1>0</formula1>
    </dataValidation>
    <dataValidation type="decimal" operator="greaterThan" allowBlank="1" showInputMessage="1" showErrorMessage="1" error="El parámetro debe ser positivo." sqref="B6">
      <formula1>0</formula1>
    </dataValidation>
    <dataValidation type="decimal" operator="greaterThan" allowBlank="1" showInputMessage="1" showErrorMessage="1" error="El parámetro debe ser positivo." sqref="B7">
      <formula1>0</formula1>
    </dataValidation>
    <dataValidation type="decimal" operator="greaterThan" allowBlank="1" showInputMessage="1" showErrorMessage="1" error="El parámetro debe ser positivo." sqref="B8">
      <formula1>0</formula1>
    </dataValidation>
    <dataValidation type="decimal" operator="greaterThan" allowBlank="1" showInputMessage="1" showErrorMessage="1" error="El parámetro debe ser positivo." sqref="B9">
      <formula1>0</formula1>
    </dataValidation>
    <dataValidation type="decimal" operator="greaterThan" allowBlank="1" showInputMessage="1" showErrorMessage="1" error="El parámetro debe ser positivo." sqref="B10">
      <formula1>0</formula1>
    </dataValidation>
    <dataValidation type="decimal" operator="greaterThan" allowBlank="1" showInputMessage="1" showErrorMessage="1" error="El parámetro debe ser positivo." sqref="B11">
      <formula1>0</formula1>
    </dataValidation>
  </dataValidations>
  <hyperlinks>
    <hyperlink ref="D4" r:id="rId1"/>
    <hyperlink ref="D5" r:id="rId2"/>
    <hyperlink ref="D6" r:id="rId3"/>
    <hyperlink ref="D7" r:id="rId4"/>
    <hyperlink ref="D10" r:id="rId5"/>
    <hyperlink ref="D11" r:id="rId6"/>
    <hyperlink ref="E16" r:id="rId7"/>
    <hyperlink ref="E17" r:id="rId8"/>
    <hyperlink ref="E18" r:id="rId9"/>
    <hyperlink ref="E19" r:id="rId10"/>
    <hyperlink ref="C27" r:id="rId11"/>
    <hyperlink ref="C28" r:id="rId12"/>
    <hyperlink ref="C29" r:id="rId13"/>
    <hyperlink ref="C30" r:id="rId14"/>
    <hyperlink ref="C31" r:id="rId15"/>
    <hyperlink ref="C33" r:id="rId16"/>
    <hyperlink ref="C34" r:id="rId17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  <col min="2" max="2" width="32.7109375" customWidth="1"/>
    <col min="3" max="3" width="95.7109375" customWidth="1"/>
    <col min="4" max="4" width="28.7109375" customWidth="1"/>
  </cols>
  <sheetData>
    <row r="1" spans="1:4">
      <c r="A1" s="1" t="s">
        <v>70</v>
      </c>
      <c r="B1" s="1"/>
      <c r="C1" s="1"/>
      <c r="D1" s="1"/>
    </row>
    <row r="2" spans="1:4">
      <c r="A2" s="3" t="s">
        <v>71</v>
      </c>
      <c r="B2" s="3"/>
      <c r="C2" s="3"/>
      <c r="D2" s="3"/>
    </row>
    <row r="3" spans="1:4">
      <c r="A3" s="2" t="s">
        <v>72</v>
      </c>
      <c r="B3" s="2" t="s">
        <v>73</v>
      </c>
      <c r="C3" s="2" t="s">
        <v>74</v>
      </c>
      <c r="D3" s="2" t="s">
        <v>75</v>
      </c>
    </row>
    <row r="4" spans="1:4">
      <c r="A4" s="3" t="s">
        <v>76</v>
      </c>
      <c r="B4" s="4">
        <v>2500</v>
      </c>
      <c r="C4" s="3" t="s">
        <v>77</v>
      </c>
    </row>
    <row r="5" spans="1:4">
      <c r="A5" s="3" t="s">
        <v>78</v>
      </c>
      <c r="B5" s="6">
        <v>30</v>
      </c>
      <c r="C5" s="3" t="s">
        <v>79</v>
      </c>
    </row>
    <row r="6" spans="1:4">
      <c r="A6" s="3" t="s">
        <v>80</v>
      </c>
      <c r="B6" s="7" t="s">
        <v>81</v>
      </c>
      <c r="C6" s="3" t="s">
        <v>82</v>
      </c>
    </row>
    <row r="7" spans="1:4">
      <c r="A7" s="3" t="s">
        <v>83</v>
      </c>
      <c r="B7" s="7" t="s">
        <v>13</v>
      </c>
      <c r="C7" s="3" t="s">
        <v>84</v>
      </c>
    </row>
    <row r="8" spans="1:4">
      <c r="A8" s="3" t="s">
        <v>27</v>
      </c>
      <c r="B8" s="7" t="s">
        <v>32</v>
      </c>
      <c r="C8" s="3" t="s">
        <v>85</v>
      </c>
    </row>
    <row r="9" spans="1:4">
      <c r="A9" s="3" t="s">
        <v>86</v>
      </c>
      <c r="B9" s="4">
        <v>0</v>
      </c>
      <c r="C9" s="3" t="s">
        <v>87</v>
      </c>
    </row>
    <row r="10" spans="1:4">
      <c r="A10" s="3" t="s">
        <v>88</v>
      </c>
      <c r="B10" s="4">
        <v>0</v>
      </c>
      <c r="C10" s="3" t="s">
        <v>87</v>
      </c>
    </row>
    <row r="11" spans="1:4">
      <c r="A11" s="3" t="s">
        <v>89</v>
      </c>
      <c r="B11" s="4">
        <v>0</v>
      </c>
      <c r="C11" s="3" t="s">
        <v>90</v>
      </c>
    </row>
    <row r="13" spans="1:4">
      <c r="A13" s="2" t="s">
        <v>91</v>
      </c>
      <c r="B13" s="3" t="str">
        <f>IFERROR(IF(AND(ISNUMBER(B4),B4&gt;0,B4&lt;=100000000,ROUND(B4,2)=B4,ISNUMBER(B5),B5=INT(B5),B5&gt;=1,B5&lt;=30,OR(B6="No",B6="Sí"),OR(B7="ONP",B7="AFP"),OR(B7="ONP",COUNTIF(ListaAFP,B8)=1),ISNUMBER(B9),B9&gt;=0,B9&lt;=10000,ROUND(B9,2)=B9,ISNUMBER(B10),B10&gt;=0,B10&lt;=10000,ROUND(B10,2)=B10,ISNUMBER(B11),B11&gt;=0,B11&lt;=100000000,ROUND(B11,2)=B11),"OK","Datos inválidos: revisa las reglas de entrada"),"Datos inválidos: revisa las reglas de entrada")</f>
        <v>OK</v>
      </c>
    </row>
    <row r="14" spans="1:4">
      <c r="A14" s="3" t="s">
        <v>92</v>
      </c>
      <c r="B14" s="3"/>
      <c r="C14" s="3"/>
      <c r="D14" s="3"/>
    </row>
    <row r="16" spans="1:4">
      <c r="A16" s="2" t="s">
        <v>93</v>
      </c>
      <c r="B16" s="2" t="s">
        <v>94</v>
      </c>
      <c r="C16" s="2" t="s">
        <v>95</v>
      </c>
      <c r="D16" s="2" t="s">
        <v>96</v>
      </c>
    </row>
    <row r="17" spans="1:4" ht="48" customHeight="1">
      <c r="A17" s="3" t="s">
        <v>97</v>
      </c>
      <c r="B17" s="8">
        <f>IF($B$13="OK",ROUND(ROUND(B4/DiasMes*B5*100,8),0)/100,"")</f>
        <v>2500.0</v>
      </c>
      <c r="C17" s="3" t="str">
        <f>_xlfn.FORMULATEXT(B17)</f>
        <v>=IF($B$13="OK",ROUND(ROUND(B4/DiasMes*B5*100,8),0)/100,"")</v>
      </c>
      <c r="D17" s="3" t="s">
        <v>98</v>
      </c>
    </row>
    <row r="18" spans="1:4" ht="48" customHeight="1">
      <c r="A18" s="3" t="s">
        <v>10</v>
      </c>
      <c r="B18" s="8">
        <f>IF($B$13="OK",IF(B6="Sí",ROUND(RMV*TasaAF,2),0),"")</f>
        <v>0.0</v>
      </c>
      <c r="C18" s="3" t="str">
        <f>_xlfn.FORMULATEXT(B18)</f>
        <v>=IF($B$13="OK",IF(B6="Sí",ROUND(RMV*TasaAF,2),0),"")</v>
      </c>
      <c r="D18" s="3" t="s">
        <v>98</v>
      </c>
    </row>
    <row r="19" spans="1:4" ht="48" customHeight="1">
      <c r="A19" s="3" t="s">
        <v>86</v>
      </c>
      <c r="B19" s="8">
        <f>IF($B$13="OK",ROUND(ROUND(B4/DiasMes/HorasDia*Factor25*B9*100,8),0)/100,"")</f>
        <v>0.0</v>
      </c>
      <c r="C19" s="3" t="str">
        <f>_xlfn.FORMULATEXT(B19)</f>
        <v>=IF($B$13="OK",ROUND(ROUND(B4/DiasMes/HorasDia*Factor25*B9*100,8),0)/100,"")</v>
      </c>
      <c r="D19" s="3" t="s">
        <v>98</v>
      </c>
    </row>
    <row r="20" spans="1:4" ht="48" customHeight="1">
      <c r="A20" s="3" t="s">
        <v>88</v>
      </c>
      <c r="B20" s="8">
        <f>IF($B$13="OK",ROUND(ROUND(B4/DiasMes/HorasDia*Factor35*B10*100,8),0)/100,"")</f>
        <v>0.0</v>
      </c>
      <c r="C20" s="3" t="str">
        <f>_xlfn.FORMULATEXT(B20)</f>
        <v>=IF($B$13="OK",ROUND(ROUND(B4/DiasMes/HorasDia*Factor35*B10*100,8),0)/100,"")</v>
      </c>
      <c r="D20" s="3" t="s">
        <v>98</v>
      </c>
    </row>
    <row r="21" spans="1:4" ht="48" customHeight="1">
      <c r="A21" s="2" t="s">
        <v>99</v>
      </c>
      <c r="B21" s="8">
        <f>IF($B$13="OK",SUM(B17:B20),"")</f>
        <v>2500.0</v>
      </c>
      <c r="C21" s="3" t="str">
        <f>_xlfn.FORMULATEXT(B21)</f>
        <v>=IF($B$13="OK",SUM(B17:B20),"")</v>
      </c>
      <c r="D21" s="3" t="s">
        <v>98</v>
      </c>
    </row>
    <row r="22" spans="1:4" ht="48" customHeight="1">
      <c r="A22" s="3" t="s">
        <v>13</v>
      </c>
      <c r="B22" s="8">
        <f>IF($B$13="OK",IF(B7="ONP",ROUND(B21*TasaONP,2),0),"")</f>
        <v>325.0</v>
      </c>
      <c r="C22" s="3" t="str">
        <f>_xlfn.FORMULATEXT(B22)</f>
        <v>=IF($B$13="OK",IF(B7="ONP",ROUND(B21*TasaONP,2),0),"")</v>
      </c>
      <c r="D22" s="3" t="s">
        <v>100</v>
      </c>
    </row>
    <row r="23" spans="1:4" ht="48" customHeight="1">
      <c r="A23" s="3" t="s">
        <v>101</v>
      </c>
      <c r="B23" s="8">
        <f>IF($B$13="OK",IF(B7="AFP",ROUND(B21*VLOOKUP(B8,'Parámetros'!$A$15:$D$19,2,FALSE),2),0),"")</f>
        <v>0.0</v>
      </c>
      <c r="C23" s="3" t="str">
        <f>_xlfn.FORMULATEXT(B23)</f>
        <v>=IF($B$13="OK",IF(B7="AFP",ROUND(B21*VLOOKUP(B8,'Parámetros'!$A$15:$D$19,2,FALSE),2),0),"")</v>
      </c>
      <c r="D23" s="3" t="s">
        <v>100</v>
      </c>
    </row>
    <row r="24" spans="1:4" ht="48" customHeight="1">
      <c r="A24" s="3" t="s">
        <v>102</v>
      </c>
      <c r="B24" s="8">
        <f>IF($B$13="OK",IF(B7="AFP",ROUND(B21*VLOOKUP(B8,'Parámetros'!$A$15:$D$19,3,FALSE),2),0),"")</f>
        <v>0.0</v>
      </c>
      <c r="C24" s="3" t="str">
        <f>_xlfn.FORMULATEXT(B24)</f>
        <v>=IF($B$13="OK",IF(B7="AFP",ROUND(B21*VLOOKUP(B8,'Parámetros'!$A$15:$D$19,3,FALSE),2),0),"")</v>
      </c>
      <c r="D24" s="3" t="s">
        <v>100</v>
      </c>
    </row>
    <row r="25" spans="1:4" ht="48" customHeight="1">
      <c r="A25" s="3" t="s">
        <v>103</v>
      </c>
      <c r="B25" s="8">
        <f>IF($B$13="OK",IF(B7="AFP",ROUND(B21*VLOOKUP(B8,'Parámetros'!$A$15:$D$19,4,FALSE),2),0),"")</f>
        <v>0.0</v>
      </c>
      <c r="C25" s="3" t="str">
        <f>_xlfn.FORMULATEXT(B25)</f>
        <v>=IF($B$13="OK",IF(B7="AFP",ROUND(B21*VLOOKUP(B8,'Parámetros'!$A$15:$D$19,4,FALSE),2),0),"")</v>
      </c>
      <c r="D25" s="3" t="s">
        <v>100</v>
      </c>
    </row>
    <row r="26" spans="1:4" ht="48" customHeight="1">
      <c r="A26" s="3" t="s">
        <v>89</v>
      </c>
      <c r="B26" s="8">
        <f>IF($B$13="OK",B11,"")</f>
        <v>0.0</v>
      </c>
      <c r="C26" s="3" t="str">
        <f>_xlfn.FORMULATEXT(B26)</f>
        <v>=IF($B$13="OK",B11,"")</v>
      </c>
      <c r="D26" s="3" t="s">
        <v>100</v>
      </c>
    </row>
    <row r="27" spans="1:4" ht="48" customHeight="1">
      <c r="A27" s="2" t="s">
        <v>104</v>
      </c>
      <c r="B27" s="8">
        <f>IF($B$13="OK",SUM(B22:B26),"")</f>
        <v>325.0</v>
      </c>
      <c r="C27" s="3" t="str">
        <f>_xlfn.FORMULATEXT(B27)</f>
        <v>=IF($B$13="OK",SUM(B22:B26),"")</v>
      </c>
      <c r="D27" s="3" t="s">
        <v>100</v>
      </c>
    </row>
    <row r="28" spans="1:4" ht="48" customHeight="1">
      <c r="A28" s="2" t="s">
        <v>105</v>
      </c>
      <c r="B28" s="8">
        <f>IF($B$13="OK",B21-B27,"")</f>
        <v>2175.0</v>
      </c>
      <c r="C28" s="3" t="str">
        <f>_xlfn.FORMULATEXT(B28)</f>
        <v>=IF($B$13="OK",B21-B27,"")</v>
      </c>
      <c r="D28" s="3" t="s">
        <v>106</v>
      </c>
    </row>
    <row r="29" spans="1:4" ht="48" customHeight="1">
      <c r="A29" s="3" t="s">
        <v>16</v>
      </c>
      <c r="B29" s="8">
        <f>IF($B$13="OK",ROUND(B21*TasaEsSalud,2),"")</f>
        <v>225.0</v>
      </c>
      <c r="C29" s="3" t="str">
        <f>_xlfn.FORMULATEXT(B29)</f>
        <v>=IF($B$13="OK",ROUND(B21*TasaEsSalud,2),"")</v>
      </c>
      <c r="D29" s="3" t="s">
        <v>107</v>
      </c>
    </row>
    <row r="30" spans="1:4" ht="48" customHeight="1">
      <c r="A30" s="2" t="s">
        <v>108</v>
      </c>
      <c r="B30" s="8">
        <f>IF($B$13="OK",B21+B29,"")</f>
        <v>2725.0</v>
      </c>
      <c r="C30" s="3" t="str">
        <f>_xlfn.FORMULATEXT(B30)</f>
        <v>=IF($B$13="OK",B21+B29,"")</v>
      </c>
      <c r="D30" s="3" t="s">
        <v>107</v>
      </c>
    </row>
    <row r="32" spans="1:4">
      <c r="A32" s="3" t="s">
        <v>109</v>
      </c>
      <c r="B32" s="3"/>
      <c r="C32" s="3"/>
      <c r="D32" s="3"/>
    </row>
    <row r="33" spans="1:4">
      <c r="A33" s="3"/>
      <c r="B33" s="3"/>
      <c r="C33" s="3"/>
      <c r="D33" s="3"/>
    </row>
  </sheetData>
  <mergeCells count="4">
    <mergeCell ref="A1:D1"/>
    <mergeCell ref="A2:D2"/>
    <mergeCell ref="A14:D14"/>
    <mergeCell ref="A32:D33"/>
  </mergeCells>
  <dataValidations count="8">
    <dataValidation type="custom" allowBlank="1" showInputMessage="1" showErrorMessage="1" errorTitle="Dato inválido" error="Revisa la regla indicada; sin separadores de miles." sqref="B4">
      <formula1>AND(ISNUMBER(B4),B4&gt;0,B4&lt;=100000000,ROUND(B4,2)=B4)</formula1>
    </dataValidation>
    <dataValidation type="custom" allowBlank="1" showInputMessage="1" showErrorMessage="1" errorTitle="Dato inválido" error="Revisa la regla indicada; sin separadores de miles." sqref="B9">
      <formula1>AND(ISNUMBER(B9),B9&gt;=0,B9&lt;=10000,ROUND(B9,2)=B9)</formula1>
    </dataValidation>
    <dataValidation type="custom" allowBlank="1" showInputMessage="1" showErrorMessage="1" errorTitle="Dato inválido" error="Revisa la regla indicada; sin separadores de miles." sqref="B10">
      <formula1>AND(ISNUMBER(B10),B10&gt;=0,B10&lt;=10000,ROUND(B10,2)=B10)</formula1>
    </dataValidation>
    <dataValidation type="custom" allowBlank="1" showInputMessage="1" showErrorMessage="1" errorTitle="Dato inválido" error="Revisa la regla indicada; sin separadores de miles." sqref="B11">
      <formula1>AND(ISNUMBER(B11),B11&gt;=0,B11&lt;=100000000,ROUND(B11,2)=B11)</formula1>
    </dataValidation>
    <dataValidation type="whole" allowBlank="1" showInputMessage="1" showErrorMessage="1" errorTitle="Dato inválido" error="Revisa la regla indicada; sin separadores de miles." sqref="B5">
      <formula1>1</formula1>
      <formula2>30</formula2>
    </dataValidation>
    <dataValidation type="list" allowBlank="1" showInputMessage="1" showErrorMessage="1" errorTitle="Dato inválido" error="Revisa la regla indicada; sin separadores de miles." sqref="B6">
      <formula1>"No,Sí"</formula1>
    </dataValidation>
    <dataValidation type="list" allowBlank="1" showInputMessage="1" showErrorMessage="1" errorTitle="Dato inválido" error="Revisa la regla indicada; sin separadores de miles." sqref="B7">
      <formula1>"ONP,AFP"</formula1>
    </dataValidation>
    <dataValidation type="list" allowBlank="1" showInputMessage="1" showErrorMessage="1" errorTitle="Dato inválido" error="Revisa la regla indicada; sin separadores de miles." sqref="B8">
      <formula1>ListaAFP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6.7109375" customWidth="1"/>
    <col min="2" max="9" width="19.7109375" customWidth="1"/>
    <col min="10" max="23" width="21.7109375" customWidth="1"/>
    <col min="24" max="26" width="27.7109375" customWidth="1"/>
    <col min="27" max="27" width="65.7109375" customWidth="1"/>
  </cols>
  <sheetData>
    <row r="1" spans="1:27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27">
      <c r="A2" s="3" t="s">
        <v>111</v>
      </c>
      <c r="B2" s="3"/>
      <c r="C2" s="3"/>
      <c r="D2" s="3"/>
      <c r="E2" s="3"/>
      <c r="F2" s="3"/>
      <c r="G2" s="3"/>
      <c r="H2" s="3"/>
      <c r="I2" s="3"/>
      <c r="J2" s="3"/>
    </row>
    <row r="3" spans="1:27">
      <c r="A3" s="2" t="s">
        <v>112</v>
      </c>
      <c r="B3" s="2" t="s">
        <v>113</v>
      </c>
      <c r="C3" s="2" t="s">
        <v>114</v>
      </c>
      <c r="D3" s="2" t="s">
        <v>115</v>
      </c>
      <c r="E3" s="2" t="s">
        <v>83</v>
      </c>
      <c r="F3" s="2" t="s">
        <v>27</v>
      </c>
      <c r="G3" s="2" t="s">
        <v>116</v>
      </c>
      <c r="H3" s="2" t="s">
        <v>117</v>
      </c>
      <c r="I3" s="2" t="s">
        <v>118</v>
      </c>
      <c r="J3" s="2" t="s">
        <v>97</v>
      </c>
      <c r="K3" s="2" t="s">
        <v>10</v>
      </c>
      <c r="L3" s="2" t="s">
        <v>86</v>
      </c>
      <c r="M3" s="2" t="s">
        <v>88</v>
      </c>
      <c r="N3" s="2" t="s">
        <v>99</v>
      </c>
      <c r="O3" s="2" t="s">
        <v>13</v>
      </c>
      <c r="P3" s="2" t="s">
        <v>101</v>
      </c>
      <c r="Q3" s="2" t="s">
        <v>102</v>
      </c>
      <c r="R3" s="2" t="s">
        <v>103</v>
      </c>
      <c r="S3" s="2" t="s">
        <v>89</v>
      </c>
      <c r="T3" s="2" t="s">
        <v>104</v>
      </c>
      <c r="U3" s="2" t="s">
        <v>105</v>
      </c>
      <c r="V3" s="2" t="s">
        <v>16</v>
      </c>
      <c r="W3" s="2" t="s">
        <v>108</v>
      </c>
      <c r="X3" s="2" t="s">
        <v>119</v>
      </c>
      <c r="Y3" s="2" t="s">
        <v>120</v>
      </c>
      <c r="Z3" s="2" t="s">
        <v>121</v>
      </c>
      <c r="AA3" s="2" t="s">
        <v>122</v>
      </c>
    </row>
    <row r="4" spans="1:27" ht="42" customHeight="1">
      <c r="A4" s="7" t="s">
        <v>123</v>
      </c>
      <c r="B4" s="7">
        <v>2500</v>
      </c>
      <c r="C4" s="7">
        <v>30</v>
      </c>
      <c r="D4" s="7" t="s">
        <v>81</v>
      </c>
      <c r="E4" s="7" t="s">
        <v>13</v>
      </c>
      <c r="F4" s="7" t="s">
        <v>32</v>
      </c>
      <c r="G4" s="7">
        <v>0</v>
      </c>
      <c r="H4" s="7">
        <v>0</v>
      </c>
      <c r="I4" s="7">
        <v>0</v>
      </c>
      <c r="J4" s="8">
        <f>ROUND(ROUND(B4/DiasMes*C4*100,8),0)/100</f>
        <v>2500.0</v>
      </c>
      <c r="K4" s="8">
        <f>IF(D4="Sí",ROUND(RMV*TasaAF,2),0)</f>
        <v>0.0</v>
      </c>
      <c r="L4" s="8">
        <f>ROUND(ROUND(B4/DiasMes/HorasDia*Factor25*G4*100,8),0)/100</f>
        <v>0.0</v>
      </c>
      <c r="M4" s="8">
        <f>ROUND(ROUND(B4/DiasMes/HorasDia*Factor35*H4*100,8),0)/100</f>
        <v>0.0</v>
      </c>
      <c r="N4" s="8">
        <f>SUM(J4:M4)</f>
        <v>2500.0</v>
      </c>
      <c r="O4" s="8">
        <f>IF(E4="ONP",ROUND(N4*TasaONP,2),0)</f>
        <v>325.0</v>
      </c>
      <c r="P4" s="8">
        <f>IF(E4="AFP",ROUND(N4*VLOOKUP(F4,'Parámetros'!$A$15:$D$19,2,FALSE),2),0)</f>
        <v>0.0</v>
      </c>
      <c r="Q4" s="8">
        <f>IF(E4="AFP",ROUND(N4*VLOOKUP(F4,'Parámetros'!$A$15:$D$19,3,FALSE),2),0)</f>
        <v>0.0</v>
      </c>
      <c r="R4" s="8">
        <f>IF(E4="AFP",ROUND(N4*VLOOKUP(F4,'Parámetros'!$A$15:$D$19,4,FALSE),2),0)</f>
        <v>0.0</v>
      </c>
      <c r="S4" s="8">
        <f>I4</f>
        <v>0.0</v>
      </c>
      <c r="T4" s="8">
        <f>SUM(O4:S4)</f>
        <v>325.0</v>
      </c>
      <c r="U4" s="8">
        <f>N4-T4</f>
        <v>2175.0</v>
      </c>
      <c r="V4" s="8">
        <f>ROUND(N4*TasaEsSalud,2)</f>
        <v>225.0</v>
      </c>
      <c r="W4" s="8">
        <f>N4+V4</f>
        <v>2725.0</v>
      </c>
      <c r="X4" s="8">
        <v>2175</v>
      </c>
      <c r="Y4" s="3" t="str">
        <f>IF(ROUND(U4-X4,2)=0,"COINCIDE","REVISAR")</f>
        <v>COINCIDE</v>
      </c>
      <c r="Z4" s="9">
        <f>U4/N4</f>
        <v>0.87</v>
      </c>
      <c r="AA4" s="3" t="s">
        <v>124</v>
      </c>
    </row>
    <row r="5" spans="1:27" ht="42" customHeight="1">
      <c r="A5" s="7" t="s">
        <v>125</v>
      </c>
      <c r="B5" s="7">
        <v>1800</v>
      </c>
      <c r="C5" s="7">
        <v>27</v>
      </c>
      <c r="D5" s="7" t="s">
        <v>126</v>
      </c>
      <c r="E5" s="7" t="s">
        <v>13</v>
      </c>
      <c r="F5" s="7" t="s">
        <v>32</v>
      </c>
      <c r="G5" s="7">
        <v>0</v>
      </c>
      <c r="H5" s="7">
        <v>0</v>
      </c>
      <c r="I5" s="7">
        <v>0</v>
      </c>
      <c r="J5" s="8">
        <f>ROUND(ROUND(B5/DiasMes*C5*100,8),0)/100</f>
        <v>1620.0</v>
      </c>
      <c r="K5" s="8">
        <f>IF(D5="Sí",ROUND(RMV*TasaAF,2),0)</f>
        <v>123.0</v>
      </c>
      <c r="L5" s="8">
        <f>ROUND(ROUND(B5/DiasMes/HorasDia*Factor25*G5*100,8),0)/100</f>
        <v>0.0</v>
      </c>
      <c r="M5" s="8">
        <f>ROUND(ROUND(B5/DiasMes/HorasDia*Factor35*H5*100,8),0)/100</f>
        <v>0.0</v>
      </c>
      <c r="N5" s="8">
        <f>SUM(J5:M5)</f>
        <v>1743.0</v>
      </c>
      <c r="O5" s="8">
        <f>IF(E5="ONP",ROUND(N5*TasaONP,2),0)</f>
        <v>226.59</v>
      </c>
      <c r="P5" s="8">
        <f>IF(E5="AFP",ROUND(N5*VLOOKUP(F5,'Parámetros'!$A$15:$D$19,2,FALSE),2),0)</f>
        <v>0.0</v>
      </c>
      <c r="Q5" s="8">
        <f>IF(E5="AFP",ROUND(N5*VLOOKUP(F5,'Parámetros'!$A$15:$D$19,3,FALSE),2),0)</f>
        <v>0.0</v>
      </c>
      <c r="R5" s="8">
        <f>IF(E5="AFP",ROUND(N5*VLOOKUP(F5,'Parámetros'!$A$15:$D$19,4,FALSE),2),0)</f>
        <v>0.0</v>
      </c>
      <c r="S5" s="8">
        <f>I5</f>
        <v>0.0</v>
      </c>
      <c r="T5" s="8">
        <f>SUM(O5:S5)</f>
        <v>226.59</v>
      </c>
      <c r="U5" s="8">
        <f>N5-T5</f>
        <v>1516.41</v>
      </c>
      <c r="V5" s="8">
        <f>ROUND(N5*TasaEsSalud,2)</f>
        <v>156.87</v>
      </c>
      <c r="W5" s="8">
        <f>N5+V5</f>
        <v>1899.87</v>
      </c>
      <c r="X5" s="8">
        <v>1516.41</v>
      </c>
      <c r="Y5" s="3" t="str">
        <f>IF(ROUND(U5-X5,2)=0,"COINCIDE","REVISAR")</f>
        <v>COINCIDE</v>
      </c>
      <c r="Z5" s="9">
        <f>U5/N5</f>
        <v>0.87</v>
      </c>
      <c r="AA5" s="3" t="s">
        <v>124</v>
      </c>
    </row>
    <row r="6" spans="1:27" ht="42" customHeight="1">
      <c r="A6" s="7" t="s">
        <v>127</v>
      </c>
      <c r="B6" s="7">
        <v>3000</v>
      </c>
      <c r="C6" s="7">
        <v>30</v>
      </c>
      <c r="D6" s="7" t="s">
        <v>126</v>
      </c>
      <c r="E6" s="7" t="s">
        <v>27</v>
      </c>
      <c r="F6" s="7" t="s">
        <v>32</v>
      </c>
      <c r="G6" s="7">
        <v>4</v>
      </c>
      <c r="H6" s="7">
        <v>4</v>
      </c>
      <c r="I6" s="7">
        <v>200</v>
      </c>
      <c r="J6" s="8">
        <f>ROUND(ROUND(B6/DiasMes*C6*100,8),0)/100</f>
        <v>3000.0</v>
      </c>
      <c r="K6" s="8">
        <f>IF(D6="Sí",ROUND(RMV*TasaAF,2),0)</f>
        <v>123.0</v>
      </c>
      <c r="L6" s="8">
        <f>ROUND(ROUND(B6/DiasMes/HorasDia*Factor25*G6*100,8),0)/100</f>
        <v>62.5</v>
      </c>
      <c r="M6" s="8">
        <f>ROUND(ROUND(B6/DiasMes/HorasDia*Factor35*H6*100,8),0)/100</f>
        <v>67.5</v>
      </c>
      <c r="N6" s="8">
        <f>SUM(J6:M6)</f>
        <v>3253.0</v>
      </c>
      <c r="O6" s="8">
        <f>IF(E6="ONP",ROUND(N6*TasaONP,2),0)</f>
        <v>0.0</v>
      </c>
      <c r="P6" s="8">
        <f>IF(E6="AFP",ROUND(N6*VLOOKUP(F6,'Parámetros'!$A$15:$D$19,2,FALSE),2),0)</f>
        <v>325.3</v>
      </c>
      <c r="Q6" s="8">
        <f>IF(E6="AFP",ROUND(N6*VLOOKUP(F6,'Parámetros'!$A$15:$D$19,3,FALSE),2),0)</f>
        <v>52.05</v>
      </c>
      <c r="R6" s="8">
        <f>IF(E6="AFP",ROUND(N6*VLOOKUP(F6,'Parámetros'!$A$15:$D$19,4,FALSE),2),0)</f>
        <v>43.92</v>
      </c>
      <c r="S6" s="8">
        <f>I6</f>
        <v>200.0</v>
      </c>
      <c r="T6" s="8">
        <f>SUM(O6:S6)</f>
        <v>621.27</v>
      </c>
      <c r="U6" s="8">
        <f>N6-T6</f>
        <v>2631.73</v>
      </c>
      <c r="V6" s="8">
        <f>ROUND(N6*TasaEsSalud,2)</f>
        <v>292.77</v>
      </c>
      <c r="W6" s="8">
        <f>N6+V6</f>
        <v>3545.77</v>
      </c>
      <c r="X6" s="8">
        <v>2631.73</v>
      </c>
      <c r="Y6" s="3" t="str">
        <f>IF(ROUND(U6-X6,2)=0,"COINCIDE","REVISAR")</f>
        <v>COINCIDE</v>
      </c>
      <c r="Z6" s="9">
        <f>U6/N6</f>
        <v>0.8090162926529357</v>
      </c>
      <c r="AA6" s="3" t="s">
        <v>124</v>
      </c>
    </row>
    <row r="7" spans="1:27" ht="42" customHeight="1">
      <c r="A7" s="7" t="s">
        <v>128</v>
      </c>
      <c r="B7" s="7">
        <v>4200</v>
      </c>
      <c r="C7" s="7">
        <v>24</v>
      </c>
      <c r="D7" s="7" t="s">
        <v>126</v>
      </c>
      <c r="E7" s="7" t="s">
        <v>27</v>
      </c>
      <c r="F7" s="7" t="s">
        <v>32</v>
      </c>
      <c r="G7" s="7">
        <v>2</v>
      </c>
      <c r="H7" s="7">
        <v>2</v>
      </c>
      <c r="I7" s="7">
        <v>100</v>
      </c>
      <c r="J7" s="8">
        <f>ROUND(ROUND(B7/DiasMes*C7*100,8),0)/100</f>
        <v>3360.0</v>
      </c>
      <c r="K7" s="8">
        <f>IF(D7="Sí",ROUND(RMV*TasaAF,2),0)</f>
        <v>123.0</v>
      </c>
      <c r="L7" s="8">
        <f>ROUND(ROUND(B7/DiasMes/HorasDia*Factor25*G7*100,8),0)/100</f>
        <v>43.75</v>
      </c>
      <c r="M7" s="8">
        <f>ROUND(ROUND(B7/DiasMes/HorasDia*Factor35*H7*100,8),0)/100</f>
        <v>47.25</v>
      </c>
      <c r="N7" s="8">
        <f>SUM(J7:M7)</f>
        <v>3574.0</v>
      </c>
      <c r="O7" s="8">
        <f>IF(E7="ONP",ROUND(N7*TasaONP,2),0)</f>
        <v>0.0</v>
      </c>
      <c r="P7" s="8">
        <f>IF(E7="AFP",ROUND(N7*VLOOKUP(F7,'Parámetros'!$A$15:$D$19,2,FALSE),2),0)</f>
        <v>357.4</v>
      </c>
      <c r="Q7" s="8">
        <f>IF(E7="AFP",ROUND(N7*VLOOKUP(F7,'Parámetros'!$A$15:$D$19,3,FALSE),2),0)</f>
        <v>57.18</v>
      </c>
      <c r="R7" s="8">
        <f>IF(E7="AFP",ROUND(N7*VLOOKUP(F7,'Parámetros'!$A$15:$D$19,4,FALSE),2),0)</f>
        <v>48.25</v>
      </c>
      <c r="S7" s="8">
        <f>I7</f>
        <v>100.0</v>
      </c>
      <c r="T7" s="8">
        <f>SUM(O7:S7)</f>
        <v>562.83</v>
      </c>
      <c r="U7" s="8">
        <f>N7-T7</f>
        <v>3011.17</v>
      </c>
      <c r="V7" s="8">
        <f>ROUND(N7*TasaEsSalud,2)</f>
        <v>321.66</v>
      </c>
      <c r="W7" s="8">
        <f>N7+V7</f>
        <v>3895.66</v>
      </c>
      <c r="Y7" s="3" t="s">
        <v>129</v>
      </c>
      <c r="Z7" s="9">
        <f>U7/N7</f>
        <v>0.8425209848908786</v>
      </c>
      <c r="AA7" s="3" t="s">
        <v>124</v>
      </c>
    </row>
    <row r="8" spans="1:27" ht="42" customHeight="1">
      <c r="A8" s="7" t="s">
        <v>130</v>
      </c>
      <c r="B8" s="7">
        <v>3500</v>
      </c>
      <c r="C8" s="7">
        <v>30</v>
      </c>
      <c r="D8" s="7" t="s">
        <v>81</v>
      </c>
      <c r="E8" s="7" t="s">
        <v>13</v>
      </c>
      <c r="F8" s="7" t="s">
        <v>32</v>
      </c>
      <c r="G8" s="7">
        <v>0</v>
      </c>
      <c r="H8" s="7">
        <v>0</v>
      </c>
      <c r="I8" s="7">
        <v>0</v>
      </c>
      <c r="J8" s="8">
        <f>ROUND(ROUND(B8/DiasMes*C8*100,8),0)/100</f>
        <v>3500.0</v>
      </c>
      <c r="K8" s="8">
        <f>IF(D8="Sí",ROUND(RMV*TasaAF,2),0)</f>
        <v>0.0</v>
      </c>
      <c r="L8" s="8">
        <f>ROUND(ROUND(B8/DiasMes/HorasDia*Factor25*G8*100,8),0)/100</f>
        <v>0.0</v>
      </c>
      <c r="M8" s="8">
        <f>ROUND(ROUND(B8/DiasMes/HorasDia*Factor35*H8*100,8),0)/100</f>
        <v>0.0</v>
      </c>
      <c r="N8" s="8">
        <f>SUM(J8:M8)</f>
        <v>3500.0</v>
      </c>
      <c r="O8" s="8">
        <f>IF(E8="ONP",ROUND(N8*TasaONP,2),0)</f>
        <v>455.0</v>
      </c>
      <c r="P8" s="8">
        <f>IF(E8="AFP",ROUND(N8*VLOOKUP(F8,'Parámetros'!$A$15:$D$19,2,FALSE),2),0)</f>
        <v>0.0</v>
      </c>
      <c r="Q8" s="8">
        <f>IF(E8="AFP",ROUND(N8*VLOOKUP(F8,'Parámetros'!$A$15:$D$19,3,FALSE),2),0)</f>
        <v>0.0</v>
      </c>
      <c r="R8" s="8">
        <f>IF(E8="AFP",ROUND(N8*VLOOKUP(F8,'Parámetros'!$A$15:$D$19,4,FALSE),2),0)</f>
        <v>0.0</v>
      </c>
      <c r="S8" s="8">
        <f>I8</f>
        <v>0.0</v>
      </c>
      <c r="T8" s="8">
        <f>SUM(O8:S8)</f>
        <v>455.0</v>
      </c>
      <c r="U8" s="8">
        <f>N8-T8</f>
        <v>3045.0</v>
      </c>
      <c r="V8" s="8">
        <f>ROUND(N8*TasaEsSalud,2)</f>
        <v>315.0</v>
      </c>
      <c r="W8" s="8">
        <f>N8+V8</f>
        <v>3815.0</v>
      </c>
      <c r="Y8" s="3" t="s">
        <v>131</v>
      </c>
      <c r="Z8" s="9">
        <f>U8/N8</f>
        <v>0.87</v>
      </c>
      <c r="AA8" s="3" t="s">
        <v>62</v>
      </c>
    </row>
    <row r="9" spans="1:27" ht="42" customHeight="1">
      <c r="A9" s="7" t="s">
        <v>132</v>
      </c>
      <c r="B9" s="7">
        <v>3750</v>
      </c>
      <c r="C9" s="7">
        <v>30</v>
      </c>
      <c r="D9" s="7" t="s">
        <v>81</v>
      </c>
      <c r="E9" s="7" t="s">
        <v>27</v>
      </c>
      <c r="F9" s="7" t="s">
        <v>37</v>
      </c>
      <c r="G9" s="7">
        <v>0</v>
      </c>
      <c r="H9" s="7">
        <v>0</v>
      </c>
      <c r="I9" s="7">
        <v>0</v>
      </c>
      <c r="J9" s="8">
        <f>ROUND(ROUND(B9/DiasMes*C9*100,8),0)/100</f>
        <v>3750.0</v>
      </c>
      <c r="K9" s="8">
        <f>IF(D9="Sí",ROUND(RMV*TasaAF,2),0)</f>
        <v>0.0</v>
      </c>
      <c r="L9" s="8">
        <f>ROUND(ROUND(B9/DiasMes/HorasDia*Factor25*G9*100,8),0)/100</f>
        <v>0.0</v>
      </c>
      <c r="M9" s="8">
        <f>ROUND(ROUND(B9/DiasMes/HorasDia*Factor35*H9*100,8),0)/100</f>
        <v>0.0</v>
      </c>
      <c r="N9" s="8">
        <f>SUM(J9:M9)</f>
        <v>3750.0</v>
      </c>
      <c r="O9" s="8">
        <f>IF(E9="ONP",ROUND(N9*TasaONP,2),0)</f>
        <v>0.0</v>
      </c>
      <c r="P9" s="8">
        <f>IF(E9="AFP",ROUND(N9*VLOOKUP(F9,'Parámetros'!$A$15:$D$19,2,FALSE),2),0)</f>
        <v>375.0</v>
      </c>
      <c r="Q9" s="8">
        <f>IF(E9="AFP",ROUND(N9*VLOOKUP(F9,'Parámetros'!$A$15:$D$19,3,FALSE),2),0)</f>
        <v>60.0</v>
      </c>
      <c r="R9" s="8">
        <f>IF(E9="AFP",ROUND(N9*VLOOKUP(F9,'Parámetros'!$A$15:$D$19,4,FALSE),2),0)</f>
        <v>51.38</v>
      </c>
      <c r="S9" s="8">
        <f>I9</f>
        <v>0.0</v>
      </c>
      <c r="T9" s="8">
        <f>SUM(O9:S9)</f>
        <v>486.38</v>
      </c>
      <c r="U9" s="8">
        <f>N9-T9</f>
        <v>3263.62</v>
      </c>
      <c r="V9" s="8">
        <f>ROUND(N9*TasaEsSalud,2)</f>
        <v>337.5</v>
      </c>
      <c r="W9" s="8">
        <f>N9+V9</f>
        <v>4087.5</v>
      </c>
      <c r="Y9" s="3" t="s">
        <v>131</v>
      </c>
      <c r="Z9" s="9">
        <f>U9/N9</f>
        <v>0.8702986666666667</v>
      </c>
      <c r="AA9" s="3" t="s">
        <v>62</v>
      </c>
    </row>
    <row r="10" spans="1:27" ht="42" customHeight="1">
      <c r="A10" s="7" t="s">
        <v>133</v>
      </c>
      <c r="B10" s="7">
        <v>4000</v>
      </c>
      <c r="C10" s="7">
        <v>30</v>
      </c>
      <c r="D10" s="7" t="s">
        <v>81</v>
      </c>
      <c r="E10" s="7" t="s">
        <v>27</v>
      </c>
      <c r="F10" s="7" t="s">
        <v>34</v>
      </c>
      <c r="G10" s="7">
        <v>0</v>
      </c>
      <c r="H10" s="7">
        <v>0</v>
      </c>
      <c r="I10" s="7">
        <v>0</v>
      </c>
      <c r="J10" s="8">
        <f>ROUND(ROUND(B10/DiasMes*C10*100,8),0)/100</f>
        <v>4000.0</v>
      </c>
      <c r="K10" s="8">
        <f>IF(D10="Sí",ROUND(RMV*TasaAF,2),0)</f>
        <v>0.0</v>
      </c>
      <c r="L10" s="8">
        <f>ROUND(ROUND(B10/DiasMes/HorasDia*Factor25*G10*100,8),0)/100</f>
        <v>0.0</v>
      </c>
      <c r="M10" s="8">
        <f>ROUND(ROUND(B10/DiasMes/HorasDia*Factor35*H10*100,8),0)/100</f>
        <v>0.0</v>
      </c>
      <c r="N10" s="8">
        <f>SUM(J10:M10)</f>
        <v>4000.0</v>
      </c>
      <c r="O10" s="8">
        <f>IF(E10="ONP",ROUND(N10*TasaONP,2),0)</f>
        <v>0.0</v>
      </c>
      <c r="P10" s="8">
        <f>IF(E10="AFP",ROUND(N10*VLOOKUP(F10,'Parámetros'!$A$15:$D$19,2,FALSE),2),0)</f>
        <v>400.0</v>
      </c>
      <c r="Q10" s="8">
        <f>IF(E10="AFP",ROUND(N10*VLOOKUP(F10,'Parámetros'!$A$15:$D$19,3,FALSE),2),0)</f>
        <v>58.8</v>
      </c>
      <c r="R10" s="8">
        <f>IF(E10="AFP",ROUND(N10*VLOOKUP(F10,'Parámetros'!$A$15:$D$19,4,FALSE),2),0)</f>
        <v>54.8</v>
      </c>
      <c r="S10" s="8">
        <f>I10</f>
        <v>0.0</v>
      </c>
      <c r="T10" s="8">
        <f>SUM(O10:S10)</f>
        <v>513.6</v>
      </c>
      <c r="U10" s="8">
        <f>N10-T10</f>
        <v>3486.4</v>
      </c>
      <c r="V10" s="8">
        <f>ROUND(N10*TasaEsSalud,2)</f>
        <v>360.0</v>
      </c>
      <c r="W10" s="8">
        <f>N10+V10</f>
        <v>4360.0</v>
      </c>
      <c r="Y10" s="3" t="s">
        <v>131</v>
      </c>
      <c r="Z10" s="9">
        <f>U10/N10</f>
        <v>0.8716</v>
      </c>
      <c r="AA10" s="3" t="s">
        <v>62</v>
      </c>
    </row>
    <row r="11" spans="1:27" ht="42" customHeight="1">
      <c r="A11" s="7" t="s">
        <v>134</v>
      </c>
      <c r="B11" s="7">
        <v>3000</v>
      </c>
      <c r="C11" s="7">
        <v>30</v>
      </c>
      <c r="D11" s="7" t="s">
        <v>126</v>
      </c>
      <c r="E11" s="7" t="s">
        <v>13</v>
      </c>
      <c r="F11" s="7" t="s">
        <v>32</v>
      </c>
      <c r="G11" s="7">
        <v>4</v>
      </c>
      <c r="H11" s="7">
        <v>4</v>
      </c>
      <c r="I11" s="7">
        <v>200</v>
      </c>
      <c r="J11" s="8">
        <f>ROUND(ROUND(B11/DiasMes*C11*100,8),0)/100</f>
        <v>3000.0</v>
      </c>
      <c r="K11" s="8">
        <f>IF(D11="Sí",ROUND(RMV*TasaAF,2),0)</f>
        <v>123.0</v>
      </c>
      <c r="L11" s="8">
        <f>ROUND(ROUND(B11/DiasMes/HorasDia*Factor25*G11*100,8),0)/100</f>
        <v>62.5</v>
      </c>
      <c r="M11" s="8">
        <f>ROUND(ROUND(B11/DiasMes/HorasDia*Factor35*H11*100,8),0)/100</f>
        <v>67.5</v>
      </c>
      <c r="N11" s="8">
        <f>SUM(J11:M11)</f>
        <v>3253.0</v>
      </c>
      <c r="O11" s="8">
        <f>IF(E11="ONP",ROUND(N11*TasaONP,2),0)</f>
        <v>422.89</v>
      </c>
      <c r="P11" s="8">
        <f>IF(E11="AFP",ROUND(N11*VLOOKUP(F11,'Parámetros'!$A$15:$D$19,2,FALSE),2),0)</f>
        <v>0.0</v>
      </c>
      <c r="Q11" s="8">
        <f>IF(E11="AFP",ROUND(N11*VLOOKUP(F11,'Parámetros'!$A$15:$D$19,3,FALSE),2),0)</f>
        <v>0.0</v>
      </c>
      <c r="R11" s="8">
        <f>IF(E11="AFP",ROUND(N11*VLOOKUP(F11,'Parámetros'!$A$15:$D$19,4,FALSE),2),0)</f>
        <v>0.0</v>
      </c>
      <c r="S11" s="8">
        <f>I11</f>
        <v>200.0</v>
      </c>
      <c r="T11" s="8">
        <f>SUM(O11:S11)</f>
        <v>622.89</v>
      </c>
      <c r="U11" s="8">
        <f>N11-T11</f>
        <v>2630.11</v>
      </c>
      <c r="V11" s="8">
        <f>ROUND(N11*TasaEsSalud,2)</f>
        <v>292.77</v>
      </c>
      <c r="W11" s="8">
        <f>N11+V11</f>
        <v>3545.77</v>
      </c>
      <c r="Y11" s="3" t="s">
        <v>131</v>
      </c>
      <c r="Z11" s="9">
        <f>U11/N11</f>
        <v>0.8085182908084845</v>
      </c>
      <c r="AA11" s="3" t="s">
        <v>124</v>
      </c>
    </row>
    <row r="12" spans="1:27" ht="42" customHeight="1">
      <c r="A12" s="7" t="s">
        <v>135</v>
      </c>
      <c r="B12" s="7">
        <v>1800</v>
      </c>
      <c r="C12" s="7">
        <v>30</v>
      </c>
      <c r="D12" s="7" t="s">
        <v>126</v>
      </c>
      <c r="E12" s="7" t="s">
        <v>13</v>
      </c>
      <c r="F12" s="7" t="s">
        <v>32</v>
      </c>
      <c r="G12" s="7">
        <v>0</v>
      </c>
      <c r="H12" s="7">
        <v>0</v>
      </c>
      <c r="I12" s="7">
        <v>0</v>
      </c>
      <c r="J12" s="8">
        <f>ROUND(ROUND(B12/DiasMes*C12*100,8),0)/100</f>
        <v>1800.0</v>
      </c>
      <c r="K12" s="8">
        <f>IF(D12="Sí",ROUND(RMV*TasaAF,2),0)</f>
        <v>123.0</v>
      </c>
      <c r="L12" s="8">
        <f>ROUND(ROUND(B12/DiasMes/HorasDia*Factor25*G12*100,8),0)/100</f>
        <v>0.0</v>
      </c>
      <c r="M12" s="8">
        <f>ROUND(ROUND(B12/DiasMes/HorasDia*Factor35*H12*100,8),0)/100</f>
        <v>0.0</v>
      </c>
      <c r="N12" s="8">
        <f>SUM(J12:M12)</f>
        <v>1923.0</v>
      </c>
      <c r="O12" s="8">
        <f>IF(E12="ONP",ROUND(N12*TasaONP,2),0)</f>
        <v>249.99</v>
      </c>
      <c r="P12" s="8">
        <f>IF(E12="AFP",ROUND(N12*VLOOKUP(F12,'Parámetros'!$A$15:$D$19,2,FALSE),2),0)</f>
        <v>0.0</v>
      </c>
      <c r="Q12" s="8">
        <f>IF(E12="AFP",ROUND(N12*VLOOKUP(F12,'Parámetros'!$A$15:$D$19,3,FALSE),2),0)</f>
        <v>0.0</v>
      </c>
      <c r="R12" s="8">
        <f>IF(E12="AFP",ROUND(N12*VLOOKUP(F12,'Parámetros'!$A$15:$D$19,4,FALSE),2),0)</f>
        <v>0.0</v>
      </c>
      <c r="S12" s="8">
        <f>I12</f>
        <v>0.0</v>
      </c>
      <c r="T12" s="8">
        <f>SUM(O12:S12)</f>
        <v>249.99</v>
      </c>
      <c r="U12" s="8">
        <f>N12-T12</f>
        <v>1673.01</v>
      </c>
      <c r="V12" s="8">
        <f>ROUND(N12*TasaEsSalud,2)</f>
        <v>173.07</v>
      </c>
      <c r="W12" s="8">
        <f>N12+V12</f>
        <v>2096.07</v>
      </c>
      <c r="Y12" s="3" t="s">
        <v>131</v>
      </c>
      <c r="Z12" s="9">
        <f>U12/N12</f>
        <v>0.87</v>
      </c>
      <c r="AA12" s="3" t="s">
        <v>124</v>
      </c>
    </row>
    <row r="13" spans="1:27" ht="42" customHeight="1">
      <c r="A13" s="7" t="s">
        <v>136</v>
      </c>
      <c r="B13" s="7">
        <v>1234.56</v>
      </c>
      <c r="C13" s="7">
        <v>19</v>
      </c>
      <c r="D13" s="7" t="s">
        <v>126</v>
      </c>
      <c r="E13" s="7" t="s">
        <v>27</v>
      </c>
      <c r="F13" s="7" t="s">
        <v>32</v>
      </c>
      <c r="G13" s="7">
        <v>1.25</v>
      </c>
      <c r="H13" s="7">
        <v>2.75</v>
      </c>
      <c r="I13" s="7">
        <v>10.01</v>
      </c>
      <c r="J13" s="8">
        <f>ROUND(ROUND(B13/DiasMes*C13*100,8),0)/100</f>
        <v>781.89</v>
      </c>
      <c r="K13" s="8">
        <f>IF(D13="Sí",ROUND(RMV*TasaAF,2),0)</f>
        <v>123.0</v>
      </c>
      <c r="L13" s="8">
        <f>ROUND(ROUND(B13/DiasMes/HorasDia*Factor25*G13*100,8),0)/100</f>
        <v>8.04</v>
      </c>
      <c r="M13" s="8">
        <f>ROUND(ROUND(B13/DiasMes/HorasDia*Factor35*H13*100,8),0)/100</f>
        <v>19.1</v>
      </c>
      <c r="N13" s="8">
        <f>SUM(J13:M13)</f>
        <v>932.03</v>
      </c>
      <c r="O13" s="8">
        <f>IF(E13="ONP",ROUND(N13*TasaONP,2),0)</f>
        <v>0.0</v>
      </c>
      <c r="P13" s="8">
        <f>IF(E13="AFP",ROUND(N13*VLOOKUP(F13,'Parámetros'!$A$15:$D$19,2,FALSE),2),0)</f>
        <v>93.2</v>
      </c>
      <c r="Q13" s="8">
        <f>IF(E13="AFP",ROUND(N13*VLOOKUP(F13,'Parámetros'!$A$15:$D$19,3,FALSE),2),0)</f>
        <v>14.91</v>
      </c>
      <c r="R13" s="8">
        <f>IF(E13="AFP",ROUND(N13*VLOOKUP(F13,'Parámetros'!$A$15:$D$19,4,FALSE),2),0)</f>
        <v>12.58</v>
      </c>
      <c r="S13" s="8">
        <f>I13</f>
        <v>10.01</v>
      </c>
      <c r="T13" s="8">
        <f>SUM(O13:S13)</f>
        <v>130.7</v>
      </c>
      <c r="U13" s="8">
        <f>N13-T13</f>
        <v>801.33</v>
      </c>
      <c r="V13" s="8">
        <f>ROUND(N13*TasaEsSalud,2)</f>
        <v>83.88</v>
      </c>
      <c r="W13" s="8">
        <f>N13+V13</f>
        <v>1015.91</v>
      </c>
      <c r="Y13" s="3" t="s">
        <v>131</v>
      </c>
      <c r="Z13" s="9">
        <f>U13/N13</f>
        <v>0.8597684623885498</v>
      </c>
      <c r="AA13" s="3" t="s">
        <v>124</v>
      </c>
    </row>
    <row r="14" spans="1:27" ht="42" customHeight="1">
      <c r="A14" s="7" t="s">
        <v>137</v>
      </c>
      <c r="B14" s="7">
        <v>240.96</v>
      </c>
      <c r="C14" s="7">
        <v>30</v>
      </c>
      <c r="D14" s="7" t="s">
        <v>81</v>
      </c>
      <c r="E14" s="7" t="s">
        <v>13</v>
      </c>
      <c r="F14" s="7" t="s">
        <v>32</v>
      </c>
      <c r="G14" s="7">
        <v>1</v>
      </c>
      <c r="H14" s="7">
        <v>0</v>
      </c>
      <c r="I14" s="7">
        <v>0</v>
      </c>
      <c r="J14" s="8">
        <f>ROUND(ROUND(B14/DiasMes*C14*100,8),0)/100</f>
        <v>240.96</v>
      </c>
      <c r="K14" s="8">
        <f>IF(D14="Sí",ROUND(RMV*TasaAF,2),0)</f>
        <v>0.0</v>
      </c>
      <c r="L14" s="8">
        <f>ROUND(ROUND(B14/DiasMes/HorasDia*Factor25*G14*100,8),0)/100</f>
        <v>1.26</v>
      </c>
      <c r="M14" s="8">
        <f>ROUND(ROUND(B14/DiasMes/HorasDia*Factor35*H14*100,8),0)/100</f>
        <v>0.0</v>
      </c>
      <c r="N14" s="8">
        <f>SUM(J14:M14)</f>
        <v>242.22</v>
      </c>
      <c r="O14" s="8">
        <f>IF(E14="ONP",ROUND(N14*TasaONP,2),0)</f>
        <v>31.49</v>
      </c>
      <c r="P14" s="8">
        <f>IF(E14="AFP",ROUND(N14*VLOOKUP(F14,'Parámetros'!$A$15:$D$19,2,FALSE),2),0)</f>
        <v>0.0</v>
      </c>
      <c r="Q14" s="8">
        <f>IF(E14="AFP",ROUND(N14*VLOOKUP(F14,'Parámetros'!$A$15:$D$19,3,FALSE),2),0)</f>
        <v>0.0</v>
      </c>
      <c r="R14" s="8">
        <f>IF(E14="AFP",ROUND(N14*VLOOKUP(F14,'Parámetros'!$A$15:$D$19,4,FALSE),2),0)</f>
        <v>0.0</v>
      </c>
      <c r="S14" s="8">
        <f>I14</f>
        <v>0.0</v>
      </c>
      <c r="T14" s="8">
        <f>SUM(O14:S14)</f>
        <v>31.49</v>
      </c>
      <c r="U14" s="8">
        <f>N14-T14</f>
        <v>210.73</v>
      </c>
      <c r="V14" s="8">
        <f>ROUND(N14*TasaEsSalud,2)</f>
        <v>21.8</v>
      </c>
      <c r="W14" s="8">
        <f>N14+V14</f>
        <v>264.02</v>
      </c>
      <c r="Y14" s="3" t="s">
        <v>131</v>
      </c>
      <c r="Z14" s="9">
        <f>U14/N14</f>
        <v>0.8699942201304599</v>
      </c>
      <c r="AA14" s="3" t="s">
        <v>124</v>
      </c>
    </row>
    <row r="15" spans="1:27" ht="42" customHeight="1">
      <c r="A15" s="7" t="s">
        <v>138</v>
      </c>
      <c r="B15" s="7">
        <v>2500</v>
      </c>
      <c r="C15" s="7">
        <v>30</v>
      </c>
      <c r="D15" s="7" t="s">
        <v>81</v>
      </c>
      <c r="E15" s="7" t="s">
        <v>13</v>
      </c>
      <c r="F15" s="7" t="s">
        <v>32</v>
      </c>
      <c r="G15" s="7">
        <v>0</v>
      </c>
      <c r="H15" s="7">
        <v>0</v>
      </c>
      <c r="I15" s="7">
        <v>3000</v>
      </c>
      <c r="J15" s="8">
        <f>ROUND(ROUND(B15/DiasMes*C15*100,8),0)/100</f>
        <v>2500.0</v>
      </c>
      <c r="K15" s="8">
        <f>IF(D15="Sí",ROUND(RMV*TasaAF,2),0)</f>
        <v>0.0</v>
      </c>
      <c r="L15" s="8">
        <f>ROUND(ROUND(B15/DiasMes/HorasDia*Factor25*G15*100,8),0)/100</f>
        <v>0.0</v>
      </c>
      <c r="M15" s="8">
        <f>ROUND(ROUND(B15/DiasMes/HorasDia*Factor35*H15*100,8),0)/100</f>
        <v>0.0</v>
      </c>
      <c r="N15" s="8">
        <f>SUM(J15:M15)</f>
        <v>2500.0</v>
      </c>
      <c r="O15" s="8">
        <f>IF(E15="ONP",ROUND(N15*TasaONP,2),0)</f>
        <v>325.0</v>
      </c>
      <c r="P15" s="8">
        <f>IF(E15="AFP",ROUND(N15*VLOOKUP(F15,'Parámetros'!$A$15:$D$19,2,FALSE),2),0)</f>
        <v>0.0</v>
      </c>
      <c r="Q15" s="8">
        <f>IF(E15="AFP",ROUND(N15*VLOOKUP(F15,'Parámetros'!$A$15:$D$19,3,FALSE),2),0)</f>
        <v>0.0</v>
      </c>
      <c r="R15" s="8">
        <f>IF(E15="AFP",ROUND(N15*VLOOKUP(F15,'Parámetros'!$A$15:$D$19,4,FALSE),2),0)</f>
        <v>0.0</v>
      </c>
      <c r="S15" s="8">
        <f>I15</f>
        <v>3000.0</v>
      </c>
      <c r="T15" s="8">
        <f>SUM(O15:S15)</f>
        <v>3325.0</v>
      </c>
      <c r="U15" s="8">
        <f>N15-T15</f>
        <v>-825.0</v>
      </c>
      <c r="V15" s="8">
        <f>ROUND(N15*TasaEsSalud,2)</f>
        <v>225.0</v>
      </c>
      <c r="W15" s="8">
        <f>N15+V15</f>
        <v>2725.0</v>
      </c>
      <c r="Y15" s="3" t="s">
        <v>131</v>
      </c>
      <c r="Z15" s="9">
        <f>U15/N15</f>
        <v>-0.33</v>
      </c>
      <c r="AA15" s="3" t="s">
        <v>124</v>
      </c>
    </row>
    <row r="16" spans="1:27" ht="42" customHeight="1">
      <c r="A16" s="7" t="s">
        <v>139</v>
      </c>
      <c r="B16" s="7">
        <v>2345.67</v>
      </c>
      <c r="C16" s="7">
        <v>1</v>
      </c>
      <c r="D16" s="7" t="s">
        <v>126</v>
      </c>
      <c r="E16" s="7" t="s">
        <v>27</v>
      </c>
      <c r="F16" s="7" t="s">
        <v>34</v>
      </c>
      <c r="G16" s="7">
        <v>0.5</v>
      </c>
      <c r="H16" s="7">
        <v>0.25</v>
      </c>
      <c r="I16" s="7">
        <v>1.01</v>
      </c>
      <c r="J16" s="8">
        <f>ROUND(ROUND(B16/DiasMes*C16*100,8),0)/100</f>
        <v>78.19</v>
      </c>
      <c r="K16" s="8">
        <f>IF(D16="Sí",ROUND(RMV*TasaAF,2),0)</f>
        <v>123.0</v>
      </c>
      <c r="L16" s="8">
        <f>ROUND(ROUND(B16/DiasMes/HorasDia*Factor25*G16*100,8),0)/100</f>
        <v>6.11</v>
      </c>
      <c r="M16" s="8">
        <f>ROUND(ROUND(B16/DiasMes/HorasDia*Factor35*H16*100,8),0)/100</f>
        <v>3.3</v>
      </c>
      <c r="N16" s="8">
        <f>SUM(J16:M16)</f>
        <v>210.6</v>
      </c>
      <c r="O16" s="8">
        <f>IF(E16="ONP",ROUND(N16*TasaONP,2),0)</f>
        <v>0.0</v>
      </c>
      <c r="P16" s="8">
        <f>IF(E16="AFP",ROUND(N16*VLOOKUP(F16,'Parámetros'!$A$15:$D$19,2,FALSE),2),0)</f>
        <v>21.06</v>
      </c>
      <c r="Q16" s="8">
        <f>IF(E16="AFP",ROUND(N16*VLOOKUP(F16,'Parámetros'!$A$15:$D$19,3,FALSE),2),0)</f>
        <v>3.1</v>
      </c>
      <c r="R16" s="8">
        <f>IF(E16="AFP",ROUND(N16*VLOOKUP(F16,'Parámetros'!$A$15:$D$19,4,FALSE),2),0)</f>
        <v>2.89</v>
      </c>
      <c r="S16" s="8">
        <f>I16</f>
        <v>1.01</v>
      </c>
      <c r="T16" s="8">
        <f>SUM(O16:S16)</f>
        <v>28.06</v>
      </c>
      <c r="U16" s="8">
        <f>N16-T16</f>
        <v>182.54</v>
      </c>
      <c r="V16" s="8">
        <f>ROUND(N16*TasaEsSalud,2)</f>
        <v>18.95</v>
      </c>
      <c r="W16" s="8">
        <f>N16+V16</f>
        <v>229.55</v>
      </c>
      <c r="Y16" s="3" t="s">
        <v>131</v>
      </c>
      <c r="Z16" s="9">
        <f>U16/N16</f>
        <v>0.8667616334283</v>
      </c>
      <c r="AA16" s="3" t="s">
        <v>124</v>
      </c>
    </row>
    <row r="17" spans="1:27" ht="42" customHeight="1">
      <c r="A17" s="7" t="s">
        <v>140</v>
      </c>
      <c r="B17" s="7">
        <v>2345.67</v>
      </c>
      <c r="C17" s="7">
        <v>1</v>
      </c>
      <c r="D17" s="7" t="s">
        <v>126</v>
      </c>
      <c r="E17" s="7" t="s">
        <v>27</v>
      </c>
      <c r="F17" s="7" t="s">
        <v>36</v>
      </c>
      <c r="G17" s="7">
        <v>0.5</v>
      </c>
      <c r="H17" s="7">
        <v>0.25</v>
      </c>
      <c r="I17" s="7">
        <v>1.01</v>
      </c>
      <c r="J17" s="8">
        <f>ROUND(ROUND(B17/DiasMes*C17*100,8),0)/100</f>
        <v>78.19</v>
      </c>
      <c r="K17" s="8">
        <f>IF(D17="Sí",ROUND(RMV*TasaAF,2),0)</f>
        <v>123.0</v>
      </c>
      <c r="L17" s="8">
        <f>ROUND(ROUND(B17/DiasMes/HorasDia*Factor25*G17*100,8),0)/100</f>
        <v>6.11</v>
      </c>
      <c r="M17" s="8">
        <f>ROUND(ROUND(B17/DiasMes/HorasDia*Factor35*H17*100,8),0)/100</f>
        <v>3.3</v>
      </c>
      <c r="N17" s="8">
        <f>SUM(J17:M17)</f>
        <v>210.6</v>
      </c>
      <c r="O17" s="8">
        <f>IF(E17="ONP",ROUND(N17*TasaONP,2),0)</f>
        <v>0.0</v>
      </c>
      <c r="P17" s="8">
        <f>IF(E17="AFP",ROUND(N17*VLOOKUP(F17,'Parámetros'!$A$15:$D$19,2,FALSE),2),0)</f>
        <v>21.06</v>
      </c>
      <c r="Q17" s="8">
        <f>IF(E17="AFP",ROUND(N17*VLOOKUP(F17,'Parámetros'!$A$15:$D$19,3,FALSE),2),0)</f>
        <v>3.26</v>
      </c>
      <c r="R17" s="8">
        <f>IF(E17="AFP",ROUND(N17*VLOOKUP(F17,'Parámetros'!$A$15:$D$19,4,FALSE),2),0)</f>
        <v>2.89</v>
      </c>
      <c r="S17" s="8">
        <f>I17</f>
        <v>1.01</v>
      </c>
      <c r="T17" s="8">
        <f>SUM(O17:S17)</f>
        <v>28.22</v>
      </c>
      <c r="U17" s="8">
        <f>N17-T17</f>
        <v>182.38</v>
      </c>
      <c r="V17" s="8">
        <f>ROUND(N17*TasaEsSalud,2)</f>
        <v>18.95</v>
      </c>
      <c r="W17" s="8">
        <f>N17+V17</f>
        <v>229.55</v>
      </c>
      <c r="Y17" s="3" t="s">
        <v>131</v>
      </c>
      <c r="Z17" s="9">
        <f>U17/N17</f>
        <v>0.8660018993352326</v>
      </c>
      <c r="AA17" s="3" t="s">
        <v>124</v>
      </c>
    </row>
    <row r="18" spans="1:27" ht="42" customHeight="1">
      <c r="A18" s="7" t="s">
        <v>141</v>
      </c>
      <c r="B18" s="7">
        <v>2345.67</v>
      </c>
      <c r="C18" s="7">
        <v>1</v>
      </c>
      <c r="D18" s="7" t="s">
        <v>126</v>
      </c>
      <c r="E18" s="7" t="s">
        <v>27</v>
      </c>
      <c r="F18" s="7" t="s">
        <v>37</v>
      </c>
      <c r="G18" s="7">
        <v>0.5</v>
      </c>
      <c r="H18" s="7">
        <v>0.25</v>
      </c>
      <c r="I18" s="7">
        <v>1.01</v>
      </c>
      <c r="J18" s="8">
        <f>ROUND(ROUND(B18/DiasMes*C18*100,8),0)/100</f>
        <v>78.19</v>
      </c>
      <c r="K18" s="8">
        <f>IF(D18="Sí",ROUND(RMV*TasaAF,2),0)</f>
        <v>123.0</v>
      </c>
      <c r="L18" s="8">
        <f>ROUND(ROUND(B18/DiasMes/HorasDia*Factor25*G18*100,8),0)/100</f>
        <v>6.11</v>
      </c>
      <c r="M18" s="8">
        <f>ROUND(ROUND(B18/DiasMes/HorasDia*Factor35*H18*100,8),0)/100</f>
        <v>3.3</v>
      </c>
      <c r="N18" s="8">
        <f>SUM(J18:M18)</f>
        <v>210.6</v>
      </c>
      <c r="O18" s="8">
        <f>IF(E18="ONP",ROUND(N18*TasaONP,2),0)</f>
        <v>0.0</v>
      </c>
      <c r="P18" s="8">
        <f>IF(E18="AFP",ROUND(N18*VLOOKUP(F18,'Parámetros'!$A$15:$D$19,2,FALSE),2),0)</f>
        <v>21.06</v>
      </c>
      <c r="Q18" s="8">
        <f>IF(E18="AFP",ROUND(N18*VLOOKUP(F18,'Parámetros'!$A$15:$D$19,3,FALSE),2),0)</f>
        <v>3.37</v>
      </c>
      <c r="R18" s="8">
        <f>IF(E18="AFP",ROUND(N18*VLOOKUP(F18,'Parámetros'!$A$15:$D$19,4,FALSE),2),0)</f>
        <v>2.89</v>
      </c>
      <c r="S18" s="8">
        <f>I18</f>
        <v>1.01</v>
      </c>
      <c r="T18" s="8">
        <f>SUM(O18:S18)</f>
        <v>28.33</v>
      </c>
      <c r="U18" s="8">
        <f>N18-T18</f>
        <v>182.27</v>
      </c>
      <c r="V18" s="8">
        <f>ROUND(N18*TasaEsSalud,2)</f>
        <v>18.95</v>
      </c>
      <c r="W18" s="8">
        <f>N18+V18</f>
        <v>229.55</v>
      </c>
      <c r="Y18" s="3" t="s">
        <v>131</v>
      </c>
      <c r="Z18" s="9">
        <f>U18/N18</f>
        <v>0.8654795821462489</v>
      </c>
      <c r="AA18" s="3" t="s">
        <v>124</v>
      </c>
    </row>
    <row r="19" spans="1:27" ht="42" customHeight="1">
      <c r="A19" s="7" t="s">
        <v>142</v>
      </c>
      <c r="B19" s="7">
        <v>2345.67</v>
      </c>
      <c r="C19" s="7">
        <v>1</v>
      </c>
      <c r="D19" s="7" t="s">
        <v>126</v>
      </c>
      <c r="E19" s="7" t="s">
        <v>27</v>
      </c>
      <c r="F19" s="7" t="s">
        <v>38</v>
      </c>
      <c r="G19" s="7">
        <v>0.5</v>
      </c>
      <c r="H19" s="7">
        <v>0.25</v>
      </c>
      <c r="I19" s="7">
        <v>1.01</v>
      </c>
      <c r="J19" s="8">
        <f>ROUND(ROUND(B19/DiasMes*C19*100,8),0)/100</f>
        <v>78.19</v>
      </c>
      <c r="K19" s="8">
        <f>IF(D19="Sí",ROUND(RMV*TasaAF,2),0)</f>
        <v>123.0</v>
      </c>
      <c r="L19" s="8">
        <f>ROUND(ROUND(B19/DiasMes/HorasDia*Factor25*G19*100,8),0)/100</f>
        <v>6.11</v>
      </c>
      <c r="M19" s="8">
        <f>ROUND(ROUND(B19/DiasMes/HorasDia*Factor35*H19*100,8),0)/100</f>
        <v>3.3</v>
      </c>
      <c r="N19" s="8">
        <f>SUM(J19:M19)</f>
        <v>210.6</v>
      </c>
      <c r="O19" s="8">
        <f>IF(E19="ONP",ROUND(N19*TasaONP,2),0)</f>
        <v>0.0</v>
      </c>
      <c r="P19" s="8">
        <f>IF(E19="AFP",ROUND(N19*VLOOKUP(F19,'Parámetros'!$A$15:$D$19,2,FALSE),2),0)</f>
        <v>21.06</v>
      </c>
      <c r="Q19" s="8">
        <f>IF(E19="AFP",ROUND(N19*VLOOKUP(F19,'Parámetros'!$A$15:$D$19,3,FALSE),2),0)</f>
        <v>3.56</v>
      </c>
      <c r="R19" s="8">
        <f>IF(E19="AFP",ROUND(N19*VLOOKUP(F19,'Parámetros'!$A$15:$D$19,4,FALSE),2),0)</f>
        <v>2.89</v>
      </c>
      <c r="S19" s="8">
        <f>I19</f>
        <v>1.01</v>
      </c>
      <c r="T19" s="8">
        <f>SUM(O19:S19)</f>
        <v>28.52</v>
      </c>
      <c r="U19" s="8">
        <f>N19-T19</f>
        <v>182.08</v>
      </c>
      <c r="V19" s="8">
        <f>ROUND(N19*TasaEsSalud,2)</f>
        <v>18.95</v>
      </c>
      <c r="W19" s="8">
        <f>N19+V19</f>
        <v>229.55</v>
      </c>
      <c r="Y19" s="3" t="s">
        <v>131</v>
      </c>
      <c r="Z19" s="9">
        <f>U19/N19</f>
        <v>0.8645773979107313</v>
      </c>
      <c r="AA19" s="3" t="s">
        <v>124</v>
      </c>
    </row>
    <row r="23" spans="1:27">
      <c r="A23" s="2" t="s">
        <v>143</v>
      </c>
      <c r="B23" s="2"/>
      <c r="C23" s="2"/>
      <c r="D23" s="2"/>
      <c r="E23" s="2"/>
      <c r="F23" s="2"/>
      <c r="G23" s="2"/>
      <c r="H23" s="2"/>
      <c r="I23" s="2"/>
    </row>
    <row r="24" spans="1:27">
      <c r="A24" s="2" t="s">
        <v>144</v>
      </c>
      <c r="B24" s="2" t="s">
        <v>145</v>
      </c>
      <c r="C24" s="2" t="s">
        <v>113</v>
      </c>
      <c r="D24" s="2" t="s">
        <v>106</v>
      </c>
      <c r="E24" s="2" t="s">
        <v>146</v>
      </c>
      <c r="F24" s="2" t="s">
        <v>147</v>
      </c>
    </row>
    <row r="25" spans="1:27">
      <c r="A25" s="7" t="s">
        <v>148</v>
      </c>
      <c r="E25" s="9">
        <f>IF(AND(ISNUMBER(C25),ISNUMBER(D25),C25&gt;0),D25/C25,"")</f>
        <v/>
      </c>
      <c r="F25" s="3" t="s">
        <v>149</v>
      </c>
    </row>
    <row r="26" spans="1:27">
      <c r="A26" s="7" t="s">
        <v>148</v>
      </c>
      <c r="E26" s="9">
        <f>IF(AND(ISNUMBER(C26),ISNUMBER(D26),C26&gt;0),D26/C26,"")</f>
        <v/>
      </c>
      <c r="F26" s="3" t="s">
        <v>149</v>
      </c>
    </row>
  </sheetData>
  <autoFilter ref="A3:AA19"/>
  <mergeCells count="3">
    <mergeCell ref="A1:J1"/>
    <mergeCell ref="A2:J2"/>
    <mergeCell ref="A23:I23"/>
  </mergeCells>
  <conditionalFormatting sqref="Y4:Y19">
    <cfRule type="containsText" dxfId="0" priority="1" operator="containsText" text="REVISAR">
      <formula>NOT(ISERROR(SEARCH("REVISAR",Y4)))</formula>
    </cfRule>
  </conditionalFormatting>
  <hyperlinks>
    <hyperlink ref="AA8" r:id="rId1"/>
    <hyperlink ref="AA9" r:id="rId2"/>
    <hyperlink ref="AA10" r:id="rId3"/>
  </hyperlink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  <col min="2" max="3" width="65.7109375" customWidth="1"/>
    <col min="4" max="4" width="90.7109375" customWidth="1"/>
  </cols>
  <sheetData>
    <row r="1" spans="1:4">
      <c r="A1" s="1" t="s">
        <v>150</v>
      </c>
      <c r="B1" s="1"/>
      <c r="C1" s="1"/>
      <c r="D1" s="1"/>
    </row>
    <row r="3" spans="1:4">
      <c r="A3" s="2" t="s">
        <v>93</v>
      </c>
      <c r="B3" s="2" t="s">
        <v>151</v>
      </c>
      <c r="C3" s="2" t="s">
        <v>152</v>
      </c>
      <c r="D3" s="2" t="s">
        <v>153</v>
      </c>
    </row>
    <row r="4" spans="1:4" ht="68.25" customHeight="1">
      <c r="A4" s="3" t="s">
        <v>97</v>
      </c>
      <c r="B4" s="3" t="s">
        <v>154</v>
      </c>
      <c r="C4" s="3" t="s">
        <v>155</v>
      </c>
      <c r="D4" s="3" t="s">
        <v>156</v>
      </c>
    </row>
    <row r="5" spans="1:4" ht="68.25" customHeight="1">
      <c r="A5" s="3" t="s">
        <v>10</v>
      </c>
      <c r="B5" s="3" t="s">
        <v>157</v>
      </c>
      <c r="C5" s="3" t="s">
        <v>158</v>
      </c>
      <c r="D5" s="3" t="s">
        <v>159</v>
      </c>
    </row>
    <row r="6" spans="1:4" ht="68.25" customHeight="1">
      <c r="A6" s="3" t="s">
        <v>86</v>
      </c>
      <c r="B6" s="3" t="s">
        <v>160</v>
      </c>
      <c r="C6" s="3" t="s">
        <v>161</v>
      </c>
      <c r="D6" s="3" t="s">
        <v>162</v>
      </c>
    </row>
    <row r="7" spans="1:4" ht="68.25" customHeight="1">
      <c r="A7" s="3" t="s">
        <v>88</v>
      </c>
      <c r="B7" s="3" t="s">
        <v>163</v>
      </c>
      <c r="C7" s="3" t="s">
        <v>164</v>
      </c>
      <c r="D7" s="3" t="s">
        <v>165</v>
      </c>
    </row>
    <row r="8" spans="1:4" ht="68.25" customHeight="1">
      <c r="A8" s="3" t="s">
        <v>99</v>
      </c>
      <c r="B8" s="3" t="s">
        <v>166</v>
      </c>
      <c r="C8" s="3" t="s">
        <v>167</v>
      </c>
      <c r="D8" s="3" t="s">
        <v>168</v>
      </c>
    </row>
    <row r="9" spans="1:4" ht="68.25" customHeight="1">
      <c r="A9" s="3" t="s">
        <v>13</v>
      </c>
      <c r="B9" s="3" t="s">
        <v>169</v>
      </c>
      <c r="C9" s="3" t="s">
        <v>170</v>
      </c>
      <c r="D9" s="3" t="s">
        <v>171</v>
      </c>
    </row>
    <row r="10" spans="1:4" ht="68.25" customHeight="1">
      <c r="A10" s="3" t="s">
        <v>101</v>
      </c>
      <c r="B10" s="3" t="s">
        <v>172</v>
      </c>
      <c r="C10" s="3" t="s">
        <v>173</v>
      </c>
      <c r="D10" s="3" t="s">
        <v>174</v>
      </c>
    </row>
    <row r="11" spans="1:4" ht="68.25" customHeight="1">
      <c r="A11" s="3" t="s">
        <v>102</v>
      </c>
      <c r="B11" s="3" t="s">
        <v>175</v>
      </c>
      <c r="C11" s="3" t="s">
        <v>176</v>
      </c>
      <c r="D11" s="3" t="s">
        <v>177</v>
      </c>
    </row>
    <row r="12" spans="1:4" ht="68.25" customHeight="1">
      <c r="A12" s="3" t="s">
        <v>103</v>
      </c>
      <c r="B12" s="3" t="s">
        <v>178</v>
      </c>
      <c r="C12" s="3" t="s">
        <v>179</v>
      </c>
      <c r="D12" s="3" t="s">
        <v>180</v>
      </c>
    </row>
    <row r="13" spans="1:4" ht="68.25" customHeight="1">
      <c r="A13" s="3" t="s">
        <v>89</v>
      </c>
      <c r="B13" s="3" t="s">
        <v>181</v>
      </c>
      <c r="C13" s="3" t="s">
        <v>182</v>
      </c>
      <c r="D13" s="3" t="s">
        <v>183</v>
      </c>
    </row>
    <row r="14" spans="1:4" ht="68.25" customHeight="1">
      <c r="A14" s="3" t="s">
        <v>104</v>
      </c>
      <c r="B14" s="3" t="s">
        <v>184</v>
      </c>
      <c r="C14" s="3" t="s">
        <v>185</v>
      </c>
      <c r="D14" s="3" t="s">
        <v>186</v>
      </c>
    </row>
    <row r="15" spans="1:4" ht="68.25" customHeight="1">
      <c r="A15" s="3" t="s">
        <v>105</v>
      </c>
      <c r="B15" s="3" t="s">
        <v>187</v>
      </c>
      <c r="C15" s="3" t="s">
        <v>188</v>
      </c>
      <c r="D15" s="3" t="s">
        <v>189</v>
      </c>
    </row>
    <row r="16" spans="1:4" ht="68.25" customHeight="1">
      <c r="A16" s="3" t="s">
        <v>16</v>
      </c>
      <c r="B16" s="3" t="s">
        <v>190</v>
      </c>
      <c r="C16" s="3" t="s">
        <v>191</v>
      </c>
      <c r="D16" s="3" t="s">
        <v>192</v>
      </c>
    </row>
    <row r="17" spans="1:4" ht="68.25" customHeight="1">
      <c r="A17" s="3" t="s">
        <v>108</v>
      </c>
      <c r="B17" s="3" t="s">
        <v>193</v>
      </c>
      <c r="C17" s="3" t="s">
        <v>194</v>
      </c>
      <c r="D17" s="3" t="s">
        <v>195</v>
      </c>
    </row>
    <row r="19" spans="1:4">
      <c r="A19" s="3" t="s">
        <v>196</v>
      </c>
      <c r="B19" s="3"/>
      <c r="C19" s="3"/>
      <c r="D19" s="3"/>
    </row>
    <row r="20" spans="1:4">
      <c r="A20" s="3"/>
      <c r="B20" s="3"/>
      <c r="C20" s="3"/>
      <c r="D20" s="3"/>
    </row>
    <row r="22" spans="1:4">
      <c r="A22" s="3" t="s">
        <v>197</v>
      </c>
      <c r="B22" s="3"/>
      <c r="C22" s="3"/>
      <c r="D22" s="3"/>
    </row>
    <row r="23" spans="1:4">
      <c r="A23" s="3"/>
      <c r="B23" s="3"/>
      <c r="C23" s="3"/>
      <c r="D23" s="3"/>
    </row>
    <row r="25" spans="1:4">
      <c r="A25" s="3" t="s">
        <v>198</v>
      </c>
      <c r="B25" s="3"/>
      <c r="C25" s="3"/>
      <c r="D25" s="3"/>
    </row>
    <row r="26" spans="1:4">
      <c r="A26" s="3"/>
      <c r="B26" s="3"/>
      <c r="C26" s="3"/>
      <c r="D26" s="3"/>
    </row>
  </sheetData>
  <mergeCells count="4">
    <mergeCell ref="A1:D1"/>
    <mergeCell ref="A19:D20"/>
    <mergeCell ref="A22:D23"/>
    <mergeCell ref="A25:D26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Parámetros</vt:lpstr>
      <vt:lpstr>Boleta</vt:lpstr>
      <vt:lpstr>Casos</vt:lpstr>
      <vt:lpstr>Explicación</vt:lpstr>
      <vt:lpstr>DiasMes</vt:lpstr>
      <vt:lpstr>Factor25</vt:lpstr>
      <vt:lpstr>Factor35</vt:lpstr>
      <vt:lpstr>HorasDia</vt:lpstr>
      <vt:lpstr>ListaAFP</vt:lpstr>
      <vt:lpstr>Boleta!Print_Area</vt:lpstr>
      <vt:lpstr>RMV</vt:lpstr>
      <vt:lpstr>TasaAF</vt:lpstr>
      <vt:lpstr>TasaEsSalud</vt:lpstr>
      <vt:lpstr>TasaONP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Boleta de pago: del sueldo al neto</dc:title>
  <dc:subject>Semana 9 · niveles 1 y 2</dc:subject>
  <dc:creator>Equipo Semana 9</dc:creator>
  <cp:lastModifiedBy>Equipo Semana 9</cp:lastModifiedBy>
  <dcterms:created xsi:type="dcterms:W3CDTF">2026-10-27T17:34:43Z</dcterms:created>
  <dcterms:modified xsi:type="dcterms:W3CDTF">2026-10-27T17:34:43Z</dcterms:modified>
</cp:coreProperties>
</file>