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arámetros" sheetId="1" r:id="rId1"/>
    <sheet name="Boleta" sheetId="2" r:id="rId2"/>
    <sheet name="Casos" sheetId="3" r:id="rId3"/>
    <sheet name="Explicación" sheetId="4" r:id="rId4"/>
  </sheets>
  <definedNames>
    <definedName name="_xlnm._FilterDatabase" localSheetId="2" hidden="1">Casos!$A$3:$AA$19</definedName>
    <definedName name="DiasMes">'Parámetros'!$B$8</definedName>
    <definedName name="Factor25">'Parámetros'!$B$10</definedName>
    <definedName name="Factor35">'Parámetros'!$B$11</definedName>
    <definedName name="HorasDia">'Parámetros'!$B$9</definedName>
    <definedName name="ListaAFP">'Parámetros'!$A$15:$A$19</definedName>
    <definedName name="_xlnm.Print_Area" localSheetId="1">Boleta!$A$1:$D$33</definedName>
    <definedName name="RMV">'Parámetros'!$B$4</definedName>
    <definedName name="TasaAF">'Parámetros'!$B$5</definedName>
    <definedName name="TasaEsSalud">'Parámetros'!$B$7</definedName>
    <definedName name="TasaONP">'Parámetros'!$B$6</definedName>
  </definedNames>
  <calcPr calcId="124519" fullCalcOnLoad="1"/>
</workbook>
</file>

<file path=xl/sharedStrings.xml><?xml version="1.0" encoding="utf-8"?>
<sst xmlns="http://schemas.openxmlformats.org/spreadsheetml/2006/main" count="366" uniqueCount="199">
  <si>
    <t>SEMANA 9 · PARÁMETROS EDITABLES</t>
  </si>
  <si>
    <t>Parámetro</t>
  </si>
  <si>
    <t>Valor</t>
  </si>
  <si>
    <t>Unidad</t>
  </si>
  <si>
    <t>Fuente / observación</t>
  </si>
  <si>
    <t>Consulta</t>
  </si>
  <si>
    <t>RMV</t>
  </si>
  <si>
    <t>S/</t>
  </si>
  <si>
    <t>https://busquedas.elperuano.pe/dispositivo/NL/2559163-1</t>
  </si>
  <si>
    <t>2026-10-26</t>
  </si>
  <si>
    <t>Asignación familiar</t>
  </si>
  <si>
    <t>% RMV</t>
  </si>
  <si>
    <t>https://www.gob.pe/institucion/mtpe/noticias/601761-quienes-tienen-derecho-a-percibir-la-asignacion-familiar</t>
  </si>
  <si>
    <t>ONP</t>
  </si>
  <si>
    <t>% remuneraciones</t>
  </si>
  <si>
    <t>https://www.gob.pe/institucion/onp/noticias/1190488-como-saber-si-tu-empleador-esta-pagando-tus-aportes-al-snp</t>
  </si>
  <si>
    <t>EsSalud</t>
  </si>
  <si>
    <t>https://www.sunat.gob.pe/legislacion/oficios/2007/oficios/i0032007.htm</t>
  </si>
  <si>
    <t>Días del mes</t>
  </si>
  <si>
    <t>días</t>
  </si>
  <si>
    <t>Guía sección 4</t>
  </si>
  <si>
    <t>Horas de jornada</t>
  </si>
  <si>
    <t>horas</t>
  </si>
  <si>
    <t>Factor extra 25%</t>
  </si>
  <si>
    <t>multiplicador</t>
  </si>
  <si>
    <t>https://www.gob.pe/institucion/sunafil/noticias/1100081-conoce-las-diferencias-entre-trabajo-forzoso-y-trabajo-en-sobretiempo</t>
  </si>
  <si>
    <t>Factor extra 35%</t>
  </si>
  <si>
    <t>AFP</t>
  </si>
  <si>
    <t>Fondo</t>
  </si>
  <si>
    <t>Comisión flujo</t>
  </si>
  <si>
    <t>Seguro</t>
  </si>
  <si>
    <t>Fuente</t>
  </si>
  <si>
    <t>Ejemplo</t>
  </si>
  <si>
    <t>Guía: prueba</t>
  </si>
  <si>
    <t>Habitat (flujo)</t>
  </si>
  <si>
    <t>https://www.sbs.gob.pe/app/spp/empleadores/comisiones_spp/Paginas/comision_prima.aspx</t>
  </si>
  <si>
    <t>Integra (flujo)</t>
  </si>
  <si>
    <t>Prima (flujo)</t>
  </si>
  <si>
    <t>Profuturo (flujo)</t>
  </si>
  <si>
    <t>Amarillo = editable. Casos 1–4: RMV 1230 y AFP Ejemplo. AFP reales: modalidad flujo, devengue octubre 2026. No se aplica tope de seguro ni base mínima EsSalud por simplificación de la guía. No se modela comisión sobre saldo ni renta de quinta.</t>
  </si>
  <si>
    <t>Dato</t>
  </si>
  <si>
    <t>Alcance</t>
  </si>
  <si>
    <t>1230; desde 01/10/2026 según guía</t>
  </si>
  <si>
    <t>D.S. 015-2026-TR; índice oficial localizado; ver fuentes.md</t>
  </si>
  <si>
    <t>10% RMV = 123</t>
  </si>
  <si>
    <t>Ley 25129; no prorratear en este laboratorio</t>
  </si>
  <si>
    <t>13%</t>
  </si>
  <si>
    <t>D.L. 19990</t>
  </si>
  <si>
    <t>9%</t>
  </si>
  <si>
    <t>Ley 26790; la guía excluye base mínima</t>
  </si>
  <si>
    <t>Horas extras</t>
  </si>
  <si>
    <t>25% y 35%</t>
  </si>
  <si>
    <t>D.S. 007-2002-TR; horas ingresadas por tramo</t>
  </si>
  <si>
    <t>AFP Ejemplo</t>
  </si>
  <si>
    <t>10%; 1.60%; 1.35%</t>
  </si>
  <si>
    <t>Actividad_Grupo_B.docx, sección 4</t>
  </si>
  <si>
    <t>Tasas ficticias de prueba, no tasas SBS</t>
  </si>
  <si>
    <t>AFP reales: flujo</t>
  </si>
  <si>
    <t>Habitat 1.47%; Integra 1.55%; Prima 1.60%; Profuturo 1.69%</t>
  </si>
  <si>
    <t>Fondo 10%; seguro 1.37%; devengue 2026-10</t>
  </si>
  <si>
    <t>Oferta propia</t>
  </si>
  <si>
    <t>3500–4000 mensuales; se toma 3500</t>
  </si>
  <si>
    <t>https://pe.indeed.com/viewjob?jk=1a5d74a196f5ecab</t>
  </si>
  <si>
    <t>Desarrollador Full Stack; solo sueldo publicado, personas ficticias</t>
  </si>
  <si>
    <t>Base mensual y jornada</t>
  </si>
  <si>
    <t>30 días; 8 horas</t>
  </si>
  <si>
    <t>Convención académica</t>
  </si>
  <si>
    <t>Redondeo</t>
  </si>
  <si>
    <t>2 decimales por concepto antes de sumar</t>
  </si>
  <si>
    <t>Mitades alejándose de cero; valor hora sin redondeo previo</t>
  </si>
  <si>
    <t>BOLETA DE EJEMPLO · DEL SUELDO AL NETO</t>
  </si>
  <si>
    <t>Edita amarillo. Fórmulas en B; texto visible en C. Sin renta de quinta categoría.</t>
  </si>
  <si>
    <t>Entrada</t>
  </si>
  <si>
    <t>Valor editable</t>
  </si>
  <si>
    <t>Regla</t>
  </si>
  <si>
    <t>Ayuda</t>
  </si>
  <si>
    <t>Sueldo básico</t>
  </si>
  <si>
    <t>Mayor que 0; hasta 2 decimales</t>
  </si>
  <si>
    <t>Días laborados</t>
  </si>
  <si>
    <t>Entero de 1 a 30</t>
  </si>
  <si>
    <t>¿Tiene hijos?</t>
  </si>
  <si>
    <t>No</t>
  </si>
  <si>
    <t>No / Sí</t>
  </si>
  <si>
    <t>Sistema</t>
  </si>
  <si>
    <t>ONP / AFP</t>
  </si>
  <si>
    <t>Solo se utiliza si eliges AFP</t>
  </si>
  <si>
    <t>Horas extras 25%</t>
  </si>
  <si>
    <t>No negativas; hasta 2 decimales</t>
  </si>
  <si>
    <t>Horas extras 35%</t>
  </si>
  <si>
    <t>Adelantos</t>
  </si>
  <si>
    <t>No negativos; hasta 2 decimales</t>
  </si>
  <si>
    <t>Validación</t>
  </si>
  <si>
    <t>Los campos numéricos son obligatorios. Si pegas datos inválidos, se oculta el cálculo.</t>
  </si>
  <si>
    <t>Concepto</t>
  </si>
  <si>
    <t>Monto (S/)</t>
  </si>
  <si>
    <t>Fórmula visible</t>
  </si>
  <si>
    <t>Bloque</t>
  </si>
  <si>
    <t>Sueldo computable</t>
  </si>
  <si>
    <t>Remuneraciones</t>
  </si>
  <si>
    <t>Total remuneraciones</t>
  </si>
  <si>
    <t>Retenciones / descuentos</t>
  </si>
  <si>
    <t>AFP fondo</t>
  </si>
  <si>
    <t>AFP comisión</t>
  </si>
  <si>
    <t>AFP seguro</t>
  </si>
  <si>
    <t>Total descuentos</t>
  </si>
  <si>
    <t>Neto a pagar</t>
  </si>
  <si>
    <t>Neto</t>
  </si>
  <si>
    <t>Empleador</t>
  </si>
  <si>
    <t>Costo empleador</t>
  </si>
  <si>
    <t>EsSalud se informa aparte: no reduce el neto. Valor hora no se redondea antes de calcular cada tramo. Un neto negativo señala adelantos excesivos; no se reemplaza por cero.</t>
  </si>
  <si>
    <t>CASOS · CONTROL CRUZADO CON SWIFT</t>
  </si>
  <si>
    <t>Filas 4–7: guía. Filas 8–10: oferta y sensibilidades, no resultados de compañeros. Editar entradas invalida el contraste original.</t>
  </si>
  <si>
    <t>Caso</t>
  </si>
  <si>
    <t>Sueldo</t>
  </si>
  <si>
    <t>Días</t>
  </si>
  <si>
    <t>Hijos</t>
  </si>
  <si>
    <t>HE25</t>
  </si>
  <si>
    <t>HE35</t>
  </si>
  <si>
    <t>Adelanto</t>
  </si>
  <si>
    <t>Neto oficial</t>
  </si>
  <si>
    <t>Contraste guía</t>
  </si>
  <si>
    <t>Neto / remuneraciones</t>
  </si>
  <si>
    <t>Referencia</t>
  </si>
  <si>
    <t>Caso 1</t>
  </si>
  <si>
    <t>Guía / prueba automática</t>
  </si>
  <si>
    <t>Caso 2</t>
  </si>
  <si>
    <t>Sí</t>
  </si>
  <si>
    <t>Caso 3</t>
  </si>
  <si>
    <t>Caso 4</t>
  </si>
  <si>
    <t>Calculado; sin respuesta oficial</t>
  </si>
  <si>
    <t>Propio: oferta 3500 ONP</t>
  </si>
  <si>
    <t>Comparar con Swift</t>
  </si>
  <si>
    <t>Sensibilidad A: 3750 AFP Prima (no compañero)</t>
  </si>
  <si>
    <t>Sensibilidad B: 4000 AFP Habitat (no compañero)</t>
  </si>
  <si>
    <t>Caso 3 con ONP</t>
  </si>
  <si>
    <t>Caso 2 con 30 días</t>
  </si>
  <si>
    <t>Redondeo valor hora</t>
  </si>
  <si>
    <t>Empate medio centavo</t>
  </si>
  <si>
    <t>Neto negativo permitido</t>
  </si>
  <si>
    <t>AFP Habitat (flujo)</t>
  </si>
  <si>
    <t>AFP Integra (flujo)</t>
  </si>
  <si>
    <t>AFP Prima (flujo)</t>
  </si>
  <si>
    <t>AFP Profuturo (flujo)</t>
  </si>
  <si>
    <t>PENDIENTE: resultados reales de dos compañeros (no inventados)</t>
  </si>
  <si>
    <t>Compañero ficticio/alias</t>
  </si>
  <si>
    <t>Oferta y fecha</t>
  </si>
  <si>
    <t>% neto/bruto</t>
  </si>
  <si>
    <t>Observación</t>
  </si>
  <si>
    <t>Por completar</t>
  </si>
  <si>
    <t>Solicitar boleta y fuente a un compañero</t>
  </si>
  <si>
    <t>CADA FÓRMULA EN PALABRAS</t>
  </si>
  <si>
    <t>Explicación sencilla</t>
  </si>
  <si>
    <t>Ejemplo numérico</t>
  </si>
  <si>
    <t>Fórmula Excel en Boleta</t>
  </si>
  <si>
    <t>Divide el sueldo entre 30 y multiplícalo por los días trabajados.</t>
  </si>
  <si>
    <t>Caso 2: 1800 / 30 × 27 = 1620.00</t>
  </si>
  <si>
    <t>=ROUND(ROUND(B4/DiasMes*B5*100,8),0)/100</t>
  </si>
  <si>
    <t>Si tiene hijos, entrega el 10% de RMV completo; no lo dividas por días.</t>
  </si>
  <si>
    <t>Caso 2: 1230 × 10% = 123.00</t>
  </si>
  <si>
    <t>=IF(B6="Sí",ROUND(RMV*TasaAF,2),0)</t>
  </si>
  <si>
    <t>Divide sueldo entre 30 y 8, aumenta 25% y multiplica por las horas de este tramo.</t>
  </si>
  <si>
    <t>Caso 3: 3000 / 30 / 8 × 1.25 × 4 = 62.50</t>
  </si>
  <si>
    <t>=ROUND(ROUND(B4/DiasMes/HorasDia*Factor25*B9*100,8),0)/100</t>
  </si>
  <si>
    <t>Usa el valor hora sin redondear, aumenta 35% y multiplica por las horas de este tramo.</t>
  </si>
  <si>
    <t>Caso 3: 12.50 × 1.35 × 4 = 67.50</t>
  </si>
  <si>
    <t>=ROUND(ROUND(B4/DiasMes/HorasDia*Factor35*B10*100,8),0)/100</t>
  </si>
  <si>
    <t>Suma sueldo computable, asignación y ambos tramos, ya redondeados.</t>
  </si>
  <si>
    <t>Caso 3: 3000 + 123 + 62.50 + 67.50 = 3253.00</t>
  </si>
  <si>
    <t>=SUM(B17:B20)</t>
  </si>
  <si>
    <t>Si eligió ONP, retén el 13% de todas las remuneraciones; si AFP, muestra cero.</t>
  </si>
  <si>
    <t>Caso 2: 1743 × 13% = 226.59</t>
  </si>
  <si>
    <t>=IF(B7="ONP",ROUND(B21*TasaONP,2),0)</t>
  </si>
  <si>
    <t>Si eligió AFP, multiplica remuneraciones por tasa del fondo de la AFP elegida.</t>
  </si>
  <si>
    <t>Caso 3: 3253 × 10% = 325.30</t>
  </si>
  <si>
    <t>=IF(B7="AFP",ROUND(B21*VLOOKUP(B8,'Parámetros'!$A$15:$D$19,2,FALSE),2),0)</t>
  </si>
  <si>
    <t>Multiplica remuneraciones por la comisión de flujo, redondeada individualmente.</t>
  </si>
  <si>
    <t>Caso 3: 3253 × 1.60% = 52.048 → 52.05</t>
  </si>
  <si>
    <t>=IF(B7="AFP",ROUND(B21*VLOOKUP(B8,'Parámetros'!$A$15:$D$19,3,FALSE),2),0)</t>
  </si>
  <si>
    <t>Multiplica remuneraciones por la prima de seguro y redondea.</t>
  </si>
  <si>
    <t>Caso 3: 3253 × 1.35% = 43.9155 → 43.92</t>
  </si>
  <si>
    <t>=IF(B7="AFP",ROUND(B21*VLOOKUP(B8,'Parámetros'!$A$15:$D$19,4,FALSE),2),0)</t>
  </si>
  <si>
    <t>Copia el adelanto, que ya tiene como máximo dos decimales.</t>
  </si>
  <si>
    <t>Caso 3: 200.00</t>
  </si>
  <si>
    <t>=B11</t>
  </si>
  <si>
    <t>Suma ONP o los tres aportes AFP y agrega adelantos.</t>
  </si>
  <si>
    <t>Caso 3: 325.30 + 52.05 + 43.92 + 200 = 621.27</t>
  </si>
  <si>
    <t>=SUM(B22:B26)</t>
  </si>
  <si>
    <t>Resta todos los descuentos del total de remuneraciones.</t>
  </si>
  <si>
    <t>Caso 3: 3253.00 − 621.27 = 2631.73</t>
  </si>
  <si>
    <t>=B21-B27</t>
  </si>
  <si>
    <t>Calcula 9% de remuneraciones; lo paga la empresa adicionalmente.</t>
  </si>
  <si>
    <t>Caso 3: 3253 × 9% = 292.77</t>
  </si>
  <si>
    <t>=ROUND(B21*TasaEsSalud,2)</t>
  </si>
  <si>
    <t>Suma remuneraciones y EsSalud para este costo mensual simplificado.</t>
  </si>
  <si>
    <t>Caso 3: 3253 + 292.77 = 3545.77</t>
  </si>
  <si>
    <t>=B21+B29</t>
  </si>
  <si>
    <t>Redondeo: 2 decimales por concepto, luego SUM. Sueldo y HE usan ROUND(ROUND(importe*100,8),0)/100: normalizar residuos a 8 decimales de céntimo y redondear a céntimos enteros. Ejemplo 1.2549999999999999 → 125.5 → 126 → 1.26. No se redondea el valor hora por separado.</t>
  </si>
  <si>
    <t>Lectura: revisa Parámetros → edita Boleta → examina Casos → explica cada paso. Ctrl+` alterna fórmulas; C en Boleta ya muestra FORMULATEXT. Cambiar tasas recalcula todos los casos; los esperados oficiales permanecen fijos.</t>
  </si>
  <si>
    <t>Análisis completo y fuentes en docs/analisis.md y docs/fuentes.md. Las sensibilidades de la oferta no sustituyen la comparación con dos compañeros, que queda pendiente de sus resultados reales.</t>
  </si>
</sst>
</file>

<file path=xl/styles.xml><?xml version="1.0" encoding="utf-8"?>
<styleSheet xmlns="http://schemas.openxmlformats.org/spreadsheetml/2006/main">
  <numFmts count="3">
    <numFmt numFmtId="164" formatCode="#,##0.00"/>
    <numFmt numFmtId="165" formatCode="0.00%"/>
    <numFmt numFmtId="166" formatCode="#,##0.00;[Red]-#,##0.00"/>
  </numFmts>
  <fonts count="3">
    <font>
      <sz val="11"/>
      <color theme="1"/>
      <name val="Calibri"/>
      <family val="2"/>
      <scheme val="minor"/>
    </font>
    <font>
      <b/>
      <sz val="19"/>
      <color rgb="FFFFFFFF"/>
      <name val="Calibri"/>
      <family val="2"/>
      <scheme val="minor"/>
    </font>
    <font>
      <b/>
      <sz val="11"/>
      <color theme="1"/>
      <name val="Calibri"/>
      <family val="2"/>
      <scheme val="minor"/>
    </font>
  </fonts>
  <fills count="5">
    <fill>
      <patternFill patternType="none"/>
    </fill>
    <fill>
      <patternFill patternType="gray125"/>
    </fill>
    <fill>
      <patternFill patternType="solid">
        <fgColor rgb="FF17365D"/>
        <bgColor indexed="64"/>
      </patternFill>
    </fill>
    <fill>
      <patternFill patternType="solid">
        <fgColor rgb="FFDCE6F1"/>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xf numFmtId="0" fontId="2" fillId="3" borderId="1" xfId="0" applyFont="1" applyFill="1" applyBorder="1" applyAlignment="1">
      <alignment wrapText="1"/>
    </xf>
    <xf numFmtId="0" fontId="0" fillId="0" borderId="1" xfId="0" applyBorder="1" applyAlignment="1">
      <alignment vertical="top" wrapText="1"/>
    </xf>
    <xf numFmtId="164" fontId="0" fillId="4" borderId="1" xfId="0" applyNumberFormat="1" applyFill="1" applyBorder="1"/>
    <xf numFmtId="165" fontId="0" fillId="4" borderId="1" xfId="0" applyNumberFormat="1" applyFill="1" applyBorder="1"/>
    <xf numFmtId="1" fontId="0" fillId="4" borderId="1" xfId="0" applyNumberFormat="1" applyFill="1" applyBorder="1"/>
    <xf numFmtId="0" fontId="0" fillId="4" borderId="1" xfId="0" applyFill="1" applyBorder="1"/>
    <xf numFmtId="166" fontId="0" fillId="0" borderId="1" xfId="0" applyNumberFormat="1" applyBorder="1"/>
    <xf numFmtId="165" fontId="0" fillId="0" borderId="1" xfId="0" applyNumberFormat="1" applyBorder="1"/>
    <xf numFmtId="0" fontId="0" fillId="0" borderId="1" xfId="0" applyBorder="1" applyAlignment="1">
      <alignment vertical="top" wrapText="1"/>
    </xf>
    <xf numFmtId="0" fontId="0" fillId="0" borderId="1" xfId="0" applyBorder="1" applyAlignment="1">
      <alignment vertical="top" wrapText="1"/>
    </xf>
    <xf numFmtId="0" fontId="0" fillId="0" borderId="1" xfId="0" applyBorder="1" applyAlignment="1">
      <alignment vertical="top" wrapText="1"/>
    </xf>
    <xf numFmtId="0" fontId="0" fillId="0" borderId="1" xfId="0" applyBorder="1" applyAlignment="1">
      <alignment vertical="top" wrapText="1"/>
    </xf>
  </cellXfs>
  <cellStyles count="1">
    <cellStyle name="Normal" xfId="0" builtinId="0"/>
  </cellStyles>
  <dxfs count="1">
    <dxf>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busquedas.elperuano.pe/dispositivo/NL/2559163-1" TargetMode="External"/><Relationship Id="rId2" Type="http://schemas.openxmlformats.org/officeDocument/2006/relationships/hyperlink" Target="https://www.gob.pe/institucion/mtpe/noticias/601761-quienes-tienen-derecho-a-percibir-la-asignacion-familiar" TargetMode="External"/><Relationship Id="rId3" Type="http://schemas.openxmlformats.org/officeDocument/2006/relationships/hyperlink" Target="https://www.gob.pe/institucion/onp/noticias/1190488-como-saber-si-tu-empleador-esta-pagando-tus-aportes-al-snp" TargetMode="External"/><Relationship Id="rId4" Type="http://schemas.openxmlformats.org/officeDocument/2006/relationships/hyperlink" Target="https://www.sunat.gob.pe/legislacion/oficios/2007/oficios/i0032007.htm" TargetMode="External"/><Relationship Id="rId5" Type="http://schemas.openxmlformats.org/officeDocument/2006/relationships/hyperlink" Target="https://www.gob.pe/institucion/sunafil/noticias/1100081-conoce-las-diferencias-entre-trabajo-forzoso-y-trabajo-en-sobretiempo" TargetMode="External"/><Relationship Id="rId6" Type="http://schemas.openxmlformats.org/officeDocument/2006/relationships/hyperlink" Target="https://www.gob.pe/institucion/sunafil/noticias/1100081-conoce-las-diferencias-entre-trabajo-forzoso-y-trabajo-en-sobretiempo" TargetMode="External"/><Relationship Id="rId7" Type="http://schemas.openxmlformats.org/officeDocument/2006/relationships/hyperlink" Target="https://www.sbs.gob.pe/app/spp/empleadores/comisiones_spp/Paginas/comision_prima.aspx" TargetMode="External"/><Relationship Id="rId8" Type="http://schemas.openxmlformats.org/officeDocument/2006/relationships/hyperlink" Target="https://www.sbs.gob.pe/app/spp/empleadores/comisiones_spp/Paginas/comision_prima.aspx" TargetMode="External"/><Relationship Id="rId9" Type="http://schemas.openxmlformats.org/officeDocument/2006/relationships/hyperlink" Target="https://www.sbs.gob.pe/app/spp/empleadores/comisiones_spp/Paginas/comision_prima.aspx" TargetMode="External"/><Relationship Id="rId10" Type="http://schemas.openxmlformats.org/officeDocument/2006/relationships/hyperlink" Target="https://www.sbs.gob.pe/app/spp/empleadores/comisiones_spp/Paginas/comision_prima.aspx" TargetMode="External"/><Relationship Id="rId11" Type="http://schemas.openxmlformats.org/officeDocument/2006/relationships/hyperlink" Target="https://busquedas.elperuano.pe/dispositivo/NL/2559163-1" TargetMode="External"/><Relationship Id="rId12" Type="http://schemas.openxmlformats.org/officeDocument/2006/relationships/hyperlink" Target="https://www.gob.pe/institucion/mtpe/noticias/601761-quienes-tienen-derecho-a-percibir-la-asignacion-familiar" TargetMode="External"/><Relationship Id="rId13" Type="http://schemas.openxmlformats.org/officeDocument/2006/relationships/hyperlink" Target="https://www.gob.pe/institucion/onp/noticias/1190488-como-saber-si-tu-empleador-esta-pagando-tus-aportes-al-snp" TargetMode="External"/><Relationship Id="rId14" Type="http://schemas.openxmlformats.org/officeDocument/2006/relationships/hyperlink" Target="https://www.sunat.gob.pe/legislacion/oficios/2007/oficios/i0032007.htm" TargetMode="External"/><Relationship Id="rId15" Type="http://schemas.openxmlformats.org/officeDocument/2006/relationships/hyperlink" Target="https://www.gob.pe/institucion/sunafil/noticias/1100081-conoce-las-diferencias-entre-trabajo-forzoso-y-trabajo-en-sobretiempo" TargetMode="External"/><Relationship Id="rId16" Type="http://schemas.openxmlformats.org/officeDocument/2006/relationships/hyperlink" Target="https://www.sbs.gob.pe/app/spp/empleadores/comisiones_spp/Paginas/comision_prima.aspx" TargetMode="External"/><Relationship Id="rId17" Type="http://schemas.openxmlformats.org/officeDocument/2006/relationships/hyperlink" Target="https://pe.indeed.com/viewjob?jk=1a5d74a196f5ecab"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pe.indeed.com/viewjob?jk=1a5d74a196f5ecab" TargetMode="External"/><Relationship Id="rId2" Type="http://schemas.openxmlformats.org/officeDocument/2006/relationships/hyperlink" Target="https://pe.indeed.com/viewjob?jk=1a5d74a196f5ecab" TargetMode="External"/><Relationship Id="rId3" Type="http://schemas.openxmlformats.org/officeDocument/2006/relationships/hyperlink" Target="https://pe.indeed.com/viewjob?jk=1a5d74a196f5ecab" TargetMode="External"/></Relationships>
</file>

<file path=xl/worksheets/sheet1.xml><?xml version="1.0" encoding="utf-8"?>
<worksheet xmlns="http://schemas.openxmlformats.org/spreadsheetml/2006/main" xmlns:r="http://schemas.openxmlformats.org/officeDocument/2006/relationships">
  <sheetPr>
    <pageSetUpPr fitToPage="1"/>
  </sheetPr>
  <dimension ref="A1:F39"/>
  <sheetViews>
    <sheetView showGridLines="0" tabSelected="1" workbookViewId="0">
      <pane xSplit="1" ySplit="3" topLeftCell="B4" activePane="bottomRight" state="frozen"/>
      <selection pane="topRight" activeCell="B1" sqref="B1"/>
      <selection pane="bottomLeft" activeCell="A4" sqref="A4"/>
      <selection pane="bottomRight"/>
    </sheetView>
  </sheetViews>
  <sheetFormatPr defaultRowHeight="15"/>
  <cols>
    <col min="1" max="1" width="26.7109375" customWidth="1"/>
    <col min="2" max="3" width="24.7109375" customWidth="1"/>
    <col min="4" max="4" width="70.7109375" customWidth="1"/>
    <col min="5" max="5" width="45.7109375" customWidth="1"/>
    <col min="6" max="6" width="75" customWidth="1"/>
  </cols>
  <sheetData>
    <row r="1" spans="1:5">
      <c r="A1" s="1" t="s">
        <v>0</v>
      </c>
      <c r="B1" s="1"/>
      <c r="C1" s="1"/>
      <c r="D1" s="1"/>
      <c r="E1" s="1"/>
    </row>
    <row r="3" spans="1:5" ht="32" customHeight="1">
      <c r="A3" s="2" t="s">
        <v>1</v>
      </c>
      <c r="B3" s="2" t="s">
        <v>2</v>
      </c>
      <c r="C3" s="2" t="s">
        <v>3</v>
      </c>
      <c r="D3" s="2" t="s">
        <v>4</v>
      </c>
      <c r="E3" s="2" t="s">
        <v>5</v>
      </c>
      <c r="F3" t="inlineStr" s="2">
        <is>
          <t>¿Qué significa y por qué usamos este número?</t>
        </is>
      </c>
    </row>
    <row r="4" spans="1:5" ht="100" customHeight="1">
      <c r="A4" s="3" t="s">
        <v>6</v>
      </c>
      <c r="B4" s="4">
        <v>1230</v>
      </c>
      <c r="C4" s="3" t="s">
        <v>7</v>
      </c>
      <c r="D4" s="3" t="s">
        <v>8</v>
      </c>
      <c r="E4" s="3" t="s">
        <v>9</v>
      </c>
      <c r="F4" t="inlineStr" s="10">
        <is>
          <t>Es el valor de referencia que establece la guía del profesor. En este ejercicio se usa para calcular la asignación familiar. No significa que todos los trabajadores ganen ese sueldo. Se mantiene este valor para reproducir los casos del laboratorio; su uso aquí no acredita por sí solo la RMV legal aplicable a otra fecha.</t>
        </is>
      </c>
    </row>
    <row r="5" spans="1:5" ht="100" customHeight="1">
      <c r="A5" s="3" t="s">
        <v>10</v>
      </c>
      <c r="B5" s="5">
        <v>0.1</v>
      </c>
      <c r="C5" s="3" t="s">
        <v>11</v>
      </c>
      <c r="D5" s="3" t="s">
        <v>12</v>
      </c>
      <c r="E5" s="3" t="s">
        <v>9</v>
      </c>
      <c r="F5" t="inlineStr" s="10">
        <is>
          <t>La guía reconoce una asignación equivalente al 10% de su RMV cuando se marca Sí en hijos. Por eso 1,230 × 0.10 = S/ 123. Se entrega un solo importe, no S/ 123 por cada hijo. El formulario simplifica la acreditación de requisitos a Sí/No.</t>
        </is>
      </c>
    </row>
    <row r="6" spans="1:5" ht="100" customHeight="1">
      <c r="A6" s="3" t="s">
        <v>13</v>
      </c>
      <c r="B6" s="5">
        <v>0.13</v>
      </c>
      <c r="C6" s="3" t="s">
        <v>14</v>
      </c>
      <c r="D6" s="3" t="s">
        <v>15</v>
      </c>
      <c r="E6" s="3" t="s">
        <v>9</v>
      </c>
      <c r="F6" t="inlineStr" s="10">
        <is>
          <t>Es la tasa utilizada para la retención previsional cuando el trabajador está en ONP. Se aplica al total de remuneraciones del ejercicio, no solo al básico. Ejemplo: 2,500 × 0.13 = S/ 325. Reduce el neto del trabajador.</t>
        </is>
      </c>
    </row>
    <row r="7" spans="1:5" ht="100" customHeight="1">
      <c r="A7" s="3" t="s">
        <v>16</v>
      </c>
      <c r="B7" s="5">
        <v>0.09</v>
      </c>
      <c r="C7" s="3" t="s">
        <v>14</v>
      </c>
      <c r="D7" s="3" t="s">
        <v>17</v>
      </c>
      <c r="E7" s="3" t="s">
        <v>9</v>
      </c>
      <c r="F7" t="inlineStr" s="10">
        <is>
          <t>Es una aportación adicional a cargo de la empresa. Se muestra separada para explicar el costo del empleador. Ejemplo: 2,500 × 0.09 = S/ 225. No se resta al trabajador. La guía no aplica bases mínimas.</t>
        </is>
      </c>
    </row>
    <row r="8" spans="1:5" ht="100" customHeight="1">
      <c r="A8" s="3" t="s">
        <v>18</v>
      </c>
      <c r="B8" s="4">
        <v>30</v>
      </c>
      <c r="C8" s="3" t="s">
        <v>19</v>
      </c>
      <c r="D8" s="3" t="s">
        <v>20</v>
      </c>
      <c r="E8" s="3" t="s">
        <v>9</v>
      </c>
      <c r="F8" t="inlineStr" s="10">
        <is>
          <t>Se usa como divisor convencional del sueldo mensual, aunque el mes del calendario tenga 28, 29 o 31 días. Ejemplo: 1,800 ÷ 30 = S/ 60 por día. Es la convención exigida para estos casos.</t>
        </is>
      </c>
    </row>
    <row r="9" spans="1:5" ht="100" customHeight="1">
      <c r="A9" s="3" t="s">
        <v>21</v>
      </c>
      <c r="B9" s="4">
        <v>8</v>
      </c>
      <c r="C9" s="3" t="s">
        <v>22</v>
      </c>
      <c r="D9" s="3" t="s">
        <v>20</v>
      </c>
      <c r="E9" s="3" t="s">
        <v>9</v>
      </c>
      <c r="F9" t="inlineStr" s="10">
        <is>
          <t>Es la jornada que asume el laboratorio para obtener el valor hora. Después de calcular el valor diario, se divide entre 8. No se pide la jornada real del trabajador en esta versión.</t>
        </is>
      </c>
    </row>
    <row r="10" spans="1:5" ht="100" customHeight="1">
      <c r="A10" s="3" t="s">
        <v>23</v>
      </c>
      <c r="B10" s="4">
        <v>1.25</v>
      </c>
      <c r="C10" s="3" t="s">
        <v>24</v>
      </c>
      <c r="D10" s="3" t="s">
        <v>25</v>
      </c>
      <c r="E10" s="3" t="s">
        <v>9</v>
      </c>
      <c r="F10" t="inlineStr" s="10">
        <is>
          <t>Representa el pago completo de una hora extra más 25% de recargo: 100% + 25% = 125% = 1.25. Multiplicar solo por 0.25 pagaría únicamente el recargo.</t>
        </is>
      </c>
    </row>
    <row r="11" spans="1:5" ht="100" customHeight="1">
      <c r="A11" s="3" t="s">
        <v>26</v>
      </c>
      <c r="B11" s="4">
        <v>1.35</v>
      </c>
      <c r="C11" s="3" t="s">
        <v>24</v>
      </c>
      <c r="D11" s="3" t="s">
        <v>25</v>
      </c>
      <c r="E11" s="3" t="s">
        <v>9</v>
      </c>
      <c r="F11" t="inlineStr" s="10">
        <is>
          <t>Representa la hora completa más 35% de recargo: 100% + 35% = 135% = 1.35. El archivo recibe las horas ya clasificadas por tramo.</t>
        </is>
      </c>
    </row>
    <row r="14" spans="1:5" ht="32" customHeight="1">
      <c r="A14" s="2" t="s">
        <v>27</v>
      </c>
      <c r="B14" s="2" t="s">
        <v>28</v>
      </c>
      <c r="C14" s="2" t="s">
        <v>29</v>
      </c>
      <c r="D14" s="2" t="s">
        <v>30</v>
      </c>
      <c r="E14" s="2" t="s">
        <v>31</v>
      </c>
      <c r="F14" t="inlineStr" s="2">
        <is>
          <t>¿Por qué separamos las tasas de AFP?</t>
        </is>
      </c>
    </row>
    <row r="15" spans="1:5" ht="100" customHeight="1">
      <c r="A15" s="3" t="s">
        <v>32</v>
      </c>
      <c r="B15" s="5">
        <v>0.1</v>
      </c>
      <c r="C15" s="5">
        <v>0.016</v>
      </c>
      <c r="D15" s="5">
        <v>0.0135</v>
      </c>
      <c r="E15" s="3" t="s">
        <v>33</v>
      </c>
      <c r="F15" t="inlineStr" s="10">
        <is>
          <t>Es un perfil académico, no una AFP real. Fondo 10%, comisión 1.60% y seguro 1.35% son los valores que exige la guía para los casos 3 y 4. No deben sustituirse antes de demostrar los resultados de referencia.</t>
        </is>
      </c>
    </row>
    <row r="16" spans="1:5" ht="110" customHeight="1">
      <c r="A16" s="3" t="s">
        <v>34</v>
      </c>
      <c r="B16" s="5">
        <v>0.1</v>
      </c>
      <c r="C16" s="5">
        <v>0.0147</v>
      </c>
      <c r="D16" s="5">
        <v>0.0137</v>
      </c>
      <c r="E16" s="3" t="s">
        <v>35</v>
      </c>
      <c r="F16" t="inlineStr" s="10">
        <is>
          <t>La app busca las tasas de esta AFP por su nombre. Fondo: ahorro para pensión; comisión: administración; seguro: cobertura previsional. Son referencias de modalidad de flujo con fecha de consulta indicada en el libro. Las tasas pueden cambiar; deben revisarse para otro periodo. La comisión sobre saldo no se agrega como si fuera otra comisión mensual sobre el sueldo.</t>
        </is>
      </c>
    </row>
    <row r="17" spans="1:5" ht="110" customHeight="1">
      <c r="A17" s="3" t="s">
        <v>36</v>
      </c>
      <c r="B17" s="5">
        <v>0.1</v>
      </c>
      <c r="C17" s="5">
        <v>0.0155</v>
      </c>
      <c r="D17" s="5">
        <v>0.0137</v>
      </c>
      <c r="E17" s="3" t="s">
        <v>35</v>
      </c>
      <c r="F17" t="inlineStr" s="10">
        <is>
          <t>La app busca las tasas de esta AFP por su nombre. Fondo: ahorro para pensión; comisión: administración; seguro: cobertura previsional. Son referencias de modalidad de flujo con fecha de consulta indicada en el libro. Las tasas pueden cambiar; deben revisarse para otro periodo. La comisión sobre saldo no se agrega como si fuera otra comisión mensual sobre el sueldo.</t>
        </is>
      </c>
    </row>
    <row r="18" spans="1:5" ht="110" customHeight="1">
      <c r="A18" s="3" t="s">
        <v>37</v>
      </c>
      <c r="B18" s="5">
        <v>0.1</v>
      </c>
      <c r="C18" s="5">
        <v>0.016</v>
      </c>
      <c r="D18" s="5">
        <v>0.0137</v>
      </c>
      <c r="E18" s="3" t="s">
        <v>35</v>
      </c>
      <c r="F18" t="inlineStr" s="10">
        <is>
          <t>La app busca las tasas de esta AFP por su nombre. Fondo: ahorro para pensión; comisión: administración; seguro: cobertura previsional. Son referencias de modalidad de flujo con fecha de consulta indicada en el libro. Las tasas pueden cambiar; deben revisarse para otro periodo. La comisión sobre saldo no se agrega como si fuera otra comisión mensual sobre el sueldo.</t>
        </is>
      </c>
    </row>
    <row r="19" spans="1:5" ht="110" customHeight="1">
      <c r="A19" s="3" t="s">
        <v>38</v>
      </c>
      <c r="B19" s="5">
        <v>0.1</v>
      </c>
      <c r="C19" s="5">
        <v>0.0169</v>
      </c>
      <c r="D19" s="5">
        <v>0.0137</v>
      </c>
      <c r="E19" s="3" t="s">
        <v>35</v>
      </c>
      <c r="F19" t="inlineStr" s="10">
        <is>
          <t>La app busca las tasas de esta AFP por su nombre. Fondo: ahorro para pensión; comisión: administración; seguro: cobertura previsional. Son referencias de modalidad de flujo con fecha de consulta indicada en el libro. Las tasas pueden cambiar; deben revisarse para otro periodo. La comisión sobre saldo no se agrega como si fuera otra comisión mensual sobre el sueldo.</t>
        </is>
      </c>
    </row>
    <row r="22" spans="1:5">
      <c r="A22" s="3" t="s">
        <v>39</v>
      </c>
      <c r="B22" s="3"/>
      <c r="C22" s="3"/>
      <c r="D22" s="3"/>
      <c r="E22" s="3"/>
    </row>
    <row r="23" spans="1:5">
      <c r="A23" s="3"/>
      <c r="B23" s="3"/>
      <c r="C23" s="3"/>
      <c r="D23" s="3"/>
      <c r="E23" s="3"/>
    </row>
    <row r="26" spans="1:5">
      <c r="A26" s="2" t="s">
        <v>40</v>
      </c>
      <c r="B26" s="2" t="s">
        <v>2</v>
      </c>
      <c r="C26" s="2" t="s">
        <v>31</v>
      </c>
      <c r="D26" s="2" t="s">
        <v>41</v>
      </c>
      <c r="E26" s="2" t="s">
        <v>5</v>
      </c>
    </row>
    <row r="27" spans="1:5" ht="65.25" customHeight="1">
      <c r="A27" s="3" t="s">
        <v>6</v>
      </c>
      <c r="B27" s="3" t="s">
        <v>42</v>
      </c>
      <c r="C27" s="3" t="s">
        <v>8</v>
      </c>
      <c r="D27" s="3" t="s">
        <v>43</v>
      </c>
      <c r="E27" s="3" t="s">
        <v>9</v>
      </c>
    </row>
    <row r="28" spans="1:5" ht="65.25" customHeight="1">
      <c r="A28" s="3" t="s">
        <v>10</v>
      </c>
      <c r="B28" s="3" t="s">
        <v>44</v>
      </c>
      <c r="C28" s="3" t="s">
        <v>12</v>
      </c>
      <c r="D28" s="3" t="s">
        <v>45</v>
      </c>
      <c r="E28" s="3" t="s">
        <v>9</v>
      </c>
    </row>
    <row r="29" spans="1:5" ht="65.25" customHeight="1">
      <c r="A29" s="3" t="s">
        <v>13</v>
      </c>
      <c r="B29" s="3" t="s">
        <v>46</v>
      </c>
      <c r="C29" s="3" t="s">
        <v>15</v>
      </c>
      <c r="D29" s="3" t="s">
        <v>47</v>
      </c>
      <c r="E29" s="3" t="s">
        <v>9</v>
      </c>
    </row>
    <row r="30" spans="1:5" ht="65.25" customHeight="1">
      <c r="A30" s="3" t="s">
        <v>16</v>
      </c>
      <c r="B30" s="3" t="s">
        <v>48</v>
      </c>
      <c r="C30" s="3" t="s">
        <v>17</v>
      </c>
      <c r="D30" s="3" t="s">
        <v>49</v>
      </c>
      <c r="E30" s="3" t="s">
        <v>9</v>
      </c>
    </row>
    <row r="31" spans="1:5" ht="65.25" customHeight="1">
      <c r="A31" s="3" t="s">
        <v>50</v>
      </c>
      <c r="B31" s="3" t="s">
        <v>51</v>
      </c>
      <c r="C31" s="3" t="s">
        <v>25</v>
      </c>
      <c r="D31" s="3" t="s">
        <v>52</v>
      </c>
      <c r="E31" s="3" t="s">
        <v>9</v>
      </c>
    </row>
    <row r="32" spans="1:5" ht="65.25" customHeight="1">
      <c r="A32" s="3" t="s">
        <v>53</v>
      </c>
      <c r="B32" s="3" t="s">
        <v>54</v>
      </c>
      <c r="C32" s="3" t="s">
        <v>55</v>
      </c>
      <c r="D32" s="3" t="s">
        <v>56</v>
      </c>
      <c r="E32" s="3" t="s">
        <v>9</v>
      </c>
    </row>
    <row r="33" spans="1:5" ht="65.25" customHeight="1">
      <c r="A33" s="3" t="s">
        <v>57</v>
      </c>
      <c r="B33" s="3" t="s">
        <v>58</v>
      </c>
      <c r="C33" s="3" t="s">
        <v>35</v>
      </c>
      <c r="D33" s="3" t="s">
        <v>59</v>
      </c>
      <c r="E33" s="3" t="s">
        <v>9</v>
      </c>
    </row>
    <row r="34" spans="1:5" ht="65.25" customHeight="1">
      <c r="A34" s="3" t="s">
        <v>60</v>
      </c>
      <c r="B34" s="3" t="s">
        <v>61</v>
      </c>
      <c r="C34" s="3" t="s">
        <v>62</v>
      </c>
      <c r="D34" s="3" t="s">
        <v>63</v>
      </c>
      <c r="E34" s="3" t="s">
        <v>9</v>
      </c>
    </row>
    <row r="35" spans="1:5" ht="65.25" customHeight="1">
      <c r="A35" s="3" t="s">
        <v>64</v>
      </c>
      <c r="B35" s="3" t="s">
        <v>65</v>
      </c>
      <c r="C35" s="3" t="s">
        <v>55</v>
      </c>
      <c r="D35" s="3" t="s">
        <v>66</v>
      </c>
      <c r="E35" s="3" t="s">
        <v>9</v>
      </c>
    </row>
    <row r="36" spans="1:5" ht="65.25" customHeight="1">
      <c r="A36" s="3" t="s">
        <v>67</v>
      </c>
      <c r="B36" s="3" t="s">
        <v>68</v>
      </c>
      <c r="C36" s="3" t="s">
        <v>55</v>
      </c>
      <c r="D36" s="3" t="s">
        <v>69</v>
      </c>
      <c r="E36" s="3" t="s">
        <v>9</v>
      </c>
    </row>
    <row r="39" ht="48" customHeight="1">
      <c r="A39" t="inlineStr" s="10">
        <is>
          <t>Las tasas están juntas porque la app también las centraliza en Parametros: cambiar una regla desde aquí actualiza las fórmulas que la usan. Conserva los valores originales para demostrar los casos de la guía.</t>
        </is>
      </c>
    </row>
  </sheetData>
  <mergeCells count="3">
    <mergeCell ref="A1:E1"/>
    <mergeCell ref="A22:E23"/>
    <mergeCell ref="A39:F39"/>
  </mergeCells>
  <dataValidations count="8">
    <dataValidation type="decimal" operator="greaterThan" allowBlank="1" showInputMessage="1" showErrorMessage="1" error="El parámetro debe ser positivo." sqref="B4">
      <formula1>0</formula1>
    </dataValidation>
    <dataValidation type="decimal" operator="greaterThan" allowBlank="1" showInputMessage="1" showErrorMessage="1" error="El parámetro debe ser positivo." sqref="B5">
      <formula1>0</formula1>
    </dataValidation>
    <dataValidation type="decimal" operator="greaterThan" allowBlank="1" showInputMessage="1" showErrorMessage="1" error="El parámetro debe ser positivo." sqref="B6">
      <formula1>0</formula1>
    </dataValidation>
    <dataValidation type="decimal" operator="greaterThan" allowBlank="1" showInputMessage="1" showErrorMessage="1" error="El parámetro debe ser positivo." sqref="B7">
      <formula1>0</formula1>
    </dataValidation>
    <dataValidation type="decimal" operator="greaterThan" allowBlank="1" showInputMessage="1" showErrorMessage="1" error="El parámetro debe ser positivo." sqref="B8">
      <formula1>0</formula1>
    </dataValidation>
    <dataValidation type="decimal" operator="greaterThan" allowBlank="1" showInputMessage="1" showErrorMessage="1" error="El parámetro debe ser positivo." sqref="B9">
      <formula1>0</formula1>
    </dataValidation>
    <dataValidation type="decimal" operator="greaterThan" allowBlank="1" showInputMessage="1" showErrorMessage="1" error="El parámetro debe ser positivo." sqref="B10">
      <formula1>0</formula1>
    </dataValidation>
    <dataValidation type="decimal" operator="greaterThan" allowBlank="1" showInputMessage="1" showErrorMessage="1" error="El parámetro debe ser positivo." sqref="B11">
      <formula1>0</formula1>
    </dataValidation>
  </dataValidations>
  <hyperlinks>
    <hyperlink ref="D4" r:id="rId1"/>
    <hyperlink ref="D5" r:id="rId2"/>
    <hyperlink ref="D6" r:id="rId3"/>
    <hyperlink ref="D7" r:id="rId4"/>
    <hyperlink ref="D10" r:id="rId5"/>
    <hyperlink ref="D11" r:id="rId6"/>
    <hyperlink ref="E16" r:id="rId7"/>
    <hyperlink ref="E17" r:id="rId8"/>
    <hyperlink ref="E18" r:id="rId9"/>
    <hyperlink ref="E19" r:id="rId10"/>
    <hyperlink ref="C27" r:id="rId11"/>
    <hyperlink ref="C28" r:id="rId12"/>
    <hyperlink ref="C29" r:id="rId13"/>
    <hyperlink ref="C30" r:id="rId14"/>
    <hyperlink ref="C31" r:id="rId15"/>
    <hyperlink ref="C33" r:id="rId16"/>
    <hyperlink ref="C34" r:id="rId17"/>
  </hyperlinks>
  <pageMargins left="0.7" right="0.7" top="0.75" bottom="0.75" header="0.3" footer="0.3"/>
  <pageSetup fitToHeight="0" orientation="landscape"/>
</worksheet>
</file>

<file path=xl/worksheets/sheet2.xml><?xml version="1.0" encoding="utf-8"?>
<worksheet xmlns="http://schemas.openxmlformats.org/spreadsheetml/2006/main">
  <sheetPr>
    <pageSetUpPr fitToPage="1"/>
  </sheetPr>
  <dimension ref="A1:D33"/>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15"/>
  <cols>
    <col min="1" max="1" width="28.7109375" customWidth="1"/>
    <col min="2" max="2" width="32.7109375" customWidth="1"/>
    <col min="3" max="3" width="95.7109375" customWidth="1"/>
    <col min="4" max="4" width="76" customWidth="1"/>
  </cols>
  <sheetData>
    <row r="1" spans="1:4">
      <c r="A1" s="1" t="s">
        <v>70</v>
      </c>
      <c r="B1" s="1"/>
      <c r="C1" s="1"/>
      <c r="D1" s="1"/>
    </row>
    <row r="2" spans="1:4" ht="38" customHeight="1">
      <c r="A2" s="3" t="inlineStr">
        <is>
          <t>Como en la app: ingresa datos → valida → calcula remuneraciones → descuenta pensión y adelanto → muestra neto. Amarillo: entradas. Columna D: explicación.</t>
        </is>
      </c>
      <c r="B2" s="3"/>
      <c r="C2" s="3"/>
      <c r="D2" s="3"/>
    </row>
    <row r="3" spans="1:4" ht="30" customHeight="1">
      <c r="A3" s="2" t="s">
        <v>72</v>
      </c>
      <c r="B3" s="2" t="s">
        <v>73</v>
      </c>
      <c r="C3" s="2" t="inlineStr">
        <is>
          <t>Qué ingresar y por qué lo pedimos</t>
        </is>
      </c>
      <c r="D3" s="2" t="s">
        <v>75</v>
      </c>
    </row>
    <row r="4" spans="1:4" ht="68" customHeight="1">
      <c r="A4" s="3" t="s">
        <v>76</v>
      </c>
      <c r="B4" s="4">
        <v>2500</v>
      </c>
      <c r="C4" s="11" t="inlineStr">
        <is>
          <t>Escribe el sueldo mensual completo pactado, antes de descuentos. Si hay faltas, no reduzcas aquí el básico: el cálculo lo ajusta con los días de B5. Por ejemplo, ingresa 1,800 y 27 días, no 1,620 y 27 días.</t>
        </is>
      </c>
    </row>
    <row r="5" spans="1:4" ht="68" customHeight="1">
      <c r="A5" s="3" t="s">
        <v>78</v>
      </c>
      <c r="B5" s="6">
        <v>30</v>
      </c>
      <c r="C5" s="11" t="inlineStr">
        <is>
          <t>Indica los días que reconoce el modelo, de 1 a 30. Un mes completo se ingresa como 30. Los días no equivalen únicamente a asistencias físicas: el sueldo mensual también comprende descansos remunerados. Este archivo no clasifica licencias, descansos médicos ni otras incidencias.</t>
        </is>
      </c>
    </row>
    <row r="6" spans="1:4" ht="68" customHeight="1">
      <c r="A6" s="3" t="s">
        <v>80</v>
      </c>
      <c r="B6" s="7" t="s">
        <v>81</v>
      </c>
      <c r="C6" s="11" t="inlineStr">
        <is>
          <t>Sí activa la asignación familiar de S/ 123 con los parámetros iniciales. No la multiplica por la cantidad de hijos ni la reduce por días. En una planilla real se deben acreditar los requisitos del beneficio.</t>
        </is>
      </c>
    </row>
    <row r="7" spans="1:4" ht="68" customHeight="1">
      <c r="A7" s="3" t="s">
        <v>83</v>
      </c>
      <c r="B7" s="7" t="s">
        <v>13</v>
      </c>
      <c r="C7" s="11" t="inlineStr">
        <is>
          <t>Selecciona el sistema de pensiones. Solo se calcula uno de los dos. Esta opción no cambia el régimen laboral del trabajador ni sus derechos a CTS o gratificación.</t>
        </is>
      </c>
    </row>
    <row r="8" spans="1:4" ht="68" customHeight="1">
      <c r="A8" s="3" t="s">
        <v>27</v>
      </c>
      <c r="B8" s="7" t="s">
        <v>32</v>
      </c>
      <c r="C8" s="11" t="inlineStr">
        <is>
          <t>Selecciona qué fila de tasas utilizar. Solo interviene cuando B7 es AFP; si B7 es ONP, la AFP seleccionada no genera descuento. Usa Ejemplo para reproducir los casos del profesor.</t>
        </is>
      </c>
    </row>
    <row r="9" spans="1:4" ht="68" customHeight="1">
      <c r="A9" s="3" t="s">
        <v>86</v>
      </c>
      <c r="B9" s="4">
        <v>0</v>
      </c>
      <c r="C9" s="11" t="inlineStr">
        <is>
          <t>Escribe la cantidad de horas extras que corresponden al tramo de 25%, no su importe en soles. Las primeras dos horas extras de cada jornada se clasifican en este tramo.</t>
        </is>
      </c>
    </row>
    <row r="10" spans="1:4" ht="68" customHeight="1">
      <c r="A10" s="3" t="s">
        <v>88</v>
      </c>
      <c r="B10" s="4">
        <v>0</v>
      </c>
      <c r="C10" s="11" t="inlineStr">
        <is>
          <t>Escribe las horas extras posteriores a las dos primeras de cada jornada. Cuatro horas extras en un día se separan en 2 al 25% y 2 al 35%; dos horas en cada uno de dos días son 4 al 25%.</t>
        </is>
      </c>
    </row>
    <row r="11" spans="1:4" ht="68" customHeight="1">
      <c r="A11" s="3" t="s">
        <v>89</v>
      </c>
      <c r="B11" s="4">
        <v>0</v>
      </c>
      <c r="C11" s="11" t="inlineStr">
        <is>
          <t>Es dinero que el trabajador ya recibió. Se resta del depósito pendiente, pero no reduce las remuneraciones generadas ni la base previsional del ejercicio. Usa 0 si no hubo adelanto.</t>
        </is>
      </c>
    </row>
    <row r="13" spans="1:4" ht="48" customHeight="1">
      <c r="A13" s="2" t="s">
        <v>91</v>
      </c>
      <c r="B13" s="3" t="str">
        <f>IFERROR(IF(AND(ISNUMBER(B4),B4&gt;0,B4&lt;=100000000,ROUND(B4,2)=B4,ISNUMBER(B5),B5=INT(B5),B5&gt;=1,B5&lt;=30,OR(B6="No",B6="Sí"),OR(B7="ONP",B7="AFP"),OR(B7="ONP",COUNTIF(ListaAFP,B8)=1),ISNUMBER(B9),B9&gt;=0,B9&lt;=10000,ROUND(B9,2)=B9,ISNUMBER(B10),B10&gt;=0,B10&lt;=10000,ROUND(B10,2)=B10,ISNUMBER(B11),B11&gt;=0,B11&lt;=100000000,ROUND(B11,2)=B11),"OK","Datos inválidos: revisa las reglas de entrada"),"Datos inválidos: revisa las reglas de entrada")</f>
        <v>OK</v>
      </c>
      <c r="D13" t="inlineStr" s="11">
        <is>
          <t>OK permite calcular. Si una entrada no cumple las reglas, la boleta queda vacía.</t>
        </is>
      </c>
    </row>
    <row r="14" spans="1:4">
      <c r="A14" s="3" t="s">
        <v>92</v>
      </c>
      <c r="B14" s="3"/>
      <c r="C14" s="3"/>
      <c r="D14" s="3"/>
    </row>
    <row r="16" spans="1:4" ht="34" customHeight="1">
      <c r="A16" s="2" t="s">
        <v>93</v>
      </c>
      <c r="B16" s="2" t="s">
        <v>94</v>
      </c>
      <c r="C16" s="2" t="s">
        <v>95</v>
      </c>
      <c r="D16" s="2" t="inlineStr">
        <is>
          <t>Qué significa, por qué está aquí y cómo lo usa la app</t>
        </is>
      </c>
    </row>
    <row r="17" spans="1:4" ht="86" customHeight="1">
      <c r="A17" s="3" t="s">
        <v>97</v>
      </c>
      <c r="B17" s="8">
        <f>IF($B$13="OK",ROUND(ROUND(B4/DiasMes*B5*100,8),0)/100,"")</f>
        <v>2500.0</v>
      </c>
      <c r="C17" s="3" t="str">
        <f>_xlfn.FORMULATEXT(B17)</f>
        <v>=IF($B$13="OK",ROUND(ROUND(B4/DiasMes*B5*100,8),0)/100,"")</v>
      </c>
      <c r="D17" s="11" t="inlineStr">
        <is>
          <t>Básico ÷ 30 × días. Primero obtenemos el valor diario y después reconocemos los días del modelo. Las faltas ya están reflejadas aquí; no se descuentan otra vez.</t>
        </is>
      </c>
    </row>
    <row r="18" spans="1:4" ht="86" customHeight="1">
      <c r="A18" s="3" t="s">
        <v>10</v>
      </c>
      <c r="B18" s="8">
        <f>IF($B$13="OK",IF(B6="Sí",ROUND(RMV*TasaAF,2),0),"")</f>
        <v>0.0</v>
      </c>
      <c r="C18" s="3" t="str">
        <f>_xlfn.FORMULATEXT(B18)</f>
        <v>=IF($B$13="OK",IF(B6="Sí",ROUND(RMV*TasaAF,2),0),"")</v>
      </c>
      <c r="D18" s="11" t="inlineStr">
        <is>
          <t>Si corresponde, RMV × 10%. Se añade porque es un ingreso remunerativo incluido por la guía. Su importe depende de la RMV del perfil, no del sueldo básico.</t>
        </is>
      </c>
    </row>
    <row r="19" spans="1:4" ht="86" customHeight="1">
      <c r="A19" s="3" t="s">
        <v>86</v>
      </c>
      <c r="B19" s="8">
        <f>IF($B$13="OK",ROUND(ROUND(B4/DiasMes/HorasDia*Factor25*B9*100,8),0)/100,"")</f>
        <v>0.0</v>
      </c>
      <c r="C19" s="3" t="str">
        <f>_xlfn.FORMULATEXT(B19)</f>
        <v>=IF($B$13="OK",ROUND(ROUND(B4/DiasMes/HorasDia*Factor25*B9*100,8),0)/100,"")</v>
      </c>
      <c r="D19" s="11" t="inlineStr">
        <is>
          <t>Básico ÷ 30 ÷ 8 × 1.25 × HE25. Convertimos el sueldo mensual a valor hora y pagamos la hora completa con recargo.</t>
        </is>
      </c>
    </row>
    <row r="20" spans="1:4" ht="86" customHeight="1">
      <c r="A20" s="3" t="s">
        <v>88</v>
      </c>
      <c r="B20" s="8">
        <f>IF($B$13="OK",ROUND(ROUND(B4/DiasMes/HorasDia*Factor35*B10*100,8),0)/100,"")</f>
        <v>0.0</v>
      </c>
      <c r="C20" s="3" t="str">
        <f>_xlfn.FORMULATEXT(B20)</f>
        <v>=IF($B$13="OK",ROUND(ROUND(B4/DiasMes/HorasDia*Factor35*B10*100,8),0)/100,"")</v>
      </c>
      <c r="D20" s="11" t="inlineStr">
        <is>
          <t>Básico ÷ 30 ÷ 8 × 1.35 × HE35. El segundo tramo tiene una sobretasa mayor.</t>
        </is>
      </c>
    </row>
    <row r="21" spans="1:4" ht="86" customHeight="1">
      <c r="A21" s="2" t="s">
        <v>99</v>
      </c>
      <c r="B21" s="8">
        <f>IF($B$13="OK",SUM(B17:B20),"")</f>
        <v>2500.0</v>
      </c>
      <c r="C21" s="3" t="str">
        <f>_xlfn.FORMULATEXT(B21)</f>
        <v>=IF($B$13="OK",SUM(B17:B20),"")</v>
      </c>
      <c r="D21" s="11" t="inlineStr">
        <is>
          <t>Sumamos sueldo computable, asignación y ambos tramos de horas extras. Es lo generado antes de descuentos y la base de pensión y EsSalud del laboratorio.</t>
        </is>
      </c>
    </row>
    <row r="22" spans="1:4" ht="86" customHeight="1">
      <c r="A22" s="3" t="s">
        <v>13</v>
      </c>
      <c r="B22" s="8">
        <f>IF($B$13="OK",IF(B7="ONP",ROUND(B21*TasaONP,2),0),"")</f>
        <v>325.0</v>
      </c>
      <c r="C22" s="3" t="str">
        <f>_xlfn.FORMULATEXT(B22)</f>
        <v>=IF($B$13="OK",IF(B7="ONP",ROUND(B21*TasaONP,2),0),"")</v>
      </c>
      <c r="D22" s="11" t="inlineStr">
        <is>
          <t>Total de remuneraciones × 13%, solo con ONP. El aporte se calcula sobre lo remunerativo incluido, no sobre el neto.</t>
        </is>
      </c>
    </row>
    <row r="23" spans="1:4" ht="86" customHeight="1">
      <c r="A23" s="3" t="s">
        <v>101</v>
      </c>
      <c r="B23" s="8">
        <f>IF($B$13="OK",IF(B7="AFP",ROUND(B21*VLOOKUP(B8,'Parámetros'!$A$15:$D$19,2,FALSE),2),0),"")</f>
        <v>0.0</v>
      </c>
      <c r="C23" s="3" t="str">
        <f>_xlfn.FORMULATEXT(B23)</f>
        <v>=IF($B$13="OK",IF(B7="AFP",ROUND(B21*VLOOKUP(B8,'Parámetros'!$A$15:$D$19,2,FALSE),2),0),"")</v>
      </c>
      <c r="D23" s="11" t="inlineStr">
        <is>
          <t>Total × tasa de fondo de la AFP seleccionada. Representa el aporte al fondo previsional.</t>
        </is>
      </c>
    </row>
    <row r="24" spans="1:4" ht="86" customHeight="1">
      <c r="A24" s="3" t="s">
        <v>102</v>
      </c>
      <c r="B24" s="8">
        <f>IF($B$13="OK",IF(B7="AFP",ROUND(B21*VLOOKUP(B8,'Parámetros'!$A$15:$D$19,3,FALSE),2),0),"")</f>
        <v>0.0</v>
      </c>
      <c r="C24" s="3" t="str">
        <f>_xlfn.FORMULATEXT(B24)</f>
        <v>=IF($B$13="OK",IF(B7="AFP",ROUND(B21*VLOOKUP(B8,'Parámetros'!$A$15:$D$19,3,FALSE),2),0),"")</v>
      </c>
      <c r="D24" s="11" t="inlineStr">
        <is>
          <t>Total × comisión de la AFP seleccionada. Se presenta aparte porque corresponde a administración, no al ahorro del fondo.</t>
        </is>
      </c>
    </row>
    <row r="25" spans="1:4" ht="86" customHeight="1">
      <c r="A25" s="3" t="s">
        <v>103</v>
      </c>
      <c r="B25" s="8">
        <f>IF($B$13="OK",IF(B7="AFP",ROUND(B21*VLOOKUP(B8,'Parámetros'!$A$15:$D$19,4,FALSE),2),0),"")</f>
        <v>0.0</v>
      </c>
      <c r="C25" s="3" t="str">
        <f>_xlfn.FORMULATEXT(B25)</f>
        <v>=IF($B$13="OK",IF(B7="AFP",ROUND(B21*VLOOKUP(B8,'Parámetros'!$A$15:$D$19,4,FALSE),2),0),"")</v>
      </c>
      <c r="D25" s="11" t="inlineStr">
        <is>
          <t>Total × prima de seguro de la AFP seleccionada. Se separa para distinguir la cobertura previsional de fondo y comisión.</t>
        </is>
      </c>
    </row>
    <row r="26" spans="1:4" ht="86" customHeight="1">
      <c r="A26" s="3" t="s">
        <v>89</v>
      </c>
      <c r="B26" s="8">
        <f>IF($B$13="OK",B11,"")</f>
        <v>0.0</v>
      </c>
      <c r="C26" s="3" t="str">
        <f>_xlfn.FORMULATEXT(B26)</f>
        <v>=IF($B$13="OK",B11,"")</v>
      </c>
      <c r="D26" s="11" t="inlineStr">
        <is>
          <t>Se toma el adelanto ingresado sin aplicarle tasas. Lo retiramos del pago pendiente porque ya se entregó.</t>
        </is>
      </c>
    </row>
    <row r="27" spans="1:4" ht="86" customHeight="1">
      <c r="A27" s="2" t="s">
        <v>104</v>
      </c>
      <c r="B27" s="8">
        <f>IF($B$13="OK",SUM(B22:B26),"")</f>
        <v>325.0</v>
      </c>
      <c r="C27" s="3" t="str">
        <f>_xlfn.FORMULATEXT(B27)</f>
        <v>=IF($B$13="OK",SUM(B22:B26),"")</v>
      </c>
      <c r="D27" s="11" t="inlineStr">
        <is>
          <t>Se suman las retenciones previsionales aplicables y el adelanto. Las filas del sistema no elegido quedan en cero.</t>
        </is>
      </c>
    </row>
    <row r="28" spans="1:4" ht="86" customHeight="1">
      <c r="A28" s="2" t="s">
        <v>105</v>
      </c>
      <c r="B28" s="8">
        <f>IF($B$13="OK",B21-B27,"")</f>
        <v>2175.0</v>
      </c>
      <c r="C28" s="3" t="str">
        <f>_xlfn.FORMULATEXT(B28)</f>
        <v>=IF($B$13="OK",B21-B27,"")</v>
      </c>
      <c r="D28" s="11" t="inlineStr">
        <is>
          <t>Remuneraciones menos descuentos. Indica cuánto falta pagar, después de considerar la pensión y el adelanto.</t>
        </is>
      </c>
    </row>
    <row r="29" spans="1:4" ht="86" customHeight="1">
      <c r="A29" s="3" t="s">
        <v>16</v>
      </c>
      <c r="B29" s="8">
        <f>IF($B$13="OK",ROUND(B21*TasaEsSalud,2),"")</f>
        <v>225.0</v>
      </c>
      <c r="C29" s="3" t="str">
        <f>_xlfn.FORMULATEXT(B29)</f>
        <v>=IF($B$13="OK",ROUND(B21*TasaEsSalud,2),"")</v>
      </c>
      <c r="D29" s="11" t="inlineStr">
        <is>
          <t>Total de remuneraciones × 9%. Se muestra aparte porque lo financia el empleador.</t>
        </is>
      </c>
    </row>
    <row r="30" spans="1:4" ht="86" customHeight="1">
      <c r="A30" s="2" t="s">
        <v>108</v>
      </c>
      <c r="B30" s="8">
        <f>IF($B$13="OK",B21+B29,"")</f>
        <v>2725.0</v>
      </c>
      <c r="C30" s="3" t="str">
        <f>_xlfn.FORMULATEXT(B30)</f>
        <v>=IF($B$13="OK",B21+B29,"")</v>
      </c>
      <c r="D30" s="11" t="inlineStr">
        <is>
          <t>Remuneraciones más EsSalud. Muestra el costo simplificado que pide la actividad. No es el costo anual completo.</t>
        </is>
      </c>
    </row>
    <row r="32" spans="1:4" ht="48" customHeight="1">
      <c r="A32" s="3" t="inlineStr">
        <is>
          <t>EsSalud lo paga la empresa; no reduce el neto. Costo empleador es un dato complementario del Excel calculado también por el modelo, pero no se muestra como fila en la pantalla actual. Los ejemplos de Explicación corresponden a los casos originales.</t>
        </is>
      </c>
      <c r="B32" s="3"/>
      <c r="C32" s="3"/>
      <c r="D32" s="3"/>
    </row>
    <row r="33" spans="1:4">
      <c r="A33" s="3"/>
      <c r="B33" s="3"/>
      <c r="C33" s="3"/>
      <c r="D33" s="3"/>
    </row>
  </sheetData>
  <mergeCells count="4">
    <mergeCell ref="A1:D1"/>
    <mergeCell ref="A2:D2"/>
    <mergeCell ref="A14:D14"/>
    <mergeCell ref="A32:D33"/>
  </mergeCells>
  <dataValidations count="8">
    <dataValidation type="custom" allowBlank="1" showInputMessage="1" showErrorMessage="1" errorTitle="Dato inválido" error="Revisa la regla indicada; sin separadores de miles." sqref="B4">
      <formula1>AND(ISNUMBER(B4),B4&gt;0,B4&lt;=100000000,ROUND(B4,2)=B4)</formula1>
    </dataValidation>
    <dataValidation type="custom" allowBlank="1" showInputMessage="1" showErrorMessage="1" errorTitle="Dato inválido" error="Revisa la regla indicada; sin separadores de miles." sqref="B9">
      <formula1>AND(ISNUMBER(B9),B9&gt;=0,B9&lt;=10000,ROUND(B9,2)=B9)</formula1>
    </dataValidation>
    <dataValidation type="custom" allowBlank="1" showInputMessage="1" showErrorMessage="1" errorTitle="Dato inválido" error="Revisa la regla indicada; sin separadores de miles." sqref="B10">
      <formula1>AND(ISNUMBER(B10),B10&gt;=0,B10&lt;=10000,ROUND(B10,2)=B10)</formula1>
    </dataValidation>
    <dataValidation type="custom" allowBlank="1" showInputMessage="1" showErrorMessage="1" errorTitle="Dato inválido" error="Revisa la regla indicada; sin separadores de miles." sqref="B11">
      <formula1>AND(ISNUMBER(B11),B11&gt;=0,B11&lt;=100000000,ROUND(B11,2)=B11)</formula1>
    </dataValidation>
    <dataValidation type="whole" allowBlank="1" showInputMessage="1" showErrorMessage="1" errorTitle="Dato inválido" error="Revisa la regla indicada; sin separadores de miles." sqref="B5">
      <formula1>1</formula1>
      <formula2>30</formula2>
    </dataValidation>
    <dataValidation type="list" allowBlank="1" showInputMessage="1" showErrorMessage="1" errorTitle="Dato inválido" error="Revisa la regla indicada; sin separadores de miles." sqref="B6">
      <formula1>"No,Sí"</formula1>
    </dataValidation>
    <dataValidation type="list" allowBlank="1" showInputMessage="1" showErrorMessage="1" errorTitle="Dato inválido" error="Revisa la regla indicada; sin separadores de miles." sqref="B7">
      <formula1>"ONP,AFP"</formula1>
    </dataValidation>
    <dataValidation type="list" allowBlank="1" showInputMessage="1" showErrorMessage="1" errorTitle="Dato inválido" error="Revisa la regla indicada; sin separadores de miles." sqref="B8">
      <formula1>ListaAFP</formula1>
    </dataValidation>
  </dataValidation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sheetPr>
    <pageSetUpPr fitToPage="1"/>
  </sheetPr>
  <dimension ref="A1:AB26"/>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15"/>
  <cols>
    <col min="1" max="1" width="46.7109375" customWidth="1"/>
    <col min="2" max="9" width="19.7109375" customWidth="1"/>
    <col min="10" max="23" width="21.7109375" customWidth="1"/>
    <col min="24" max="26" width="27.7109375" customWidth="1"/>
    <col min="27" max="27" width="65.7109375" customWidth="1"/>
    <col min="28" max="28" width="76" customWidth="1"/>
  </cols>
  <sheetData>
    <row r="1" spans="1:27">
      <c r="A1" s="1" t="s">
        <v>110</v>
      </c>
      <c r="B1" s="1"/>
      <c r="C1" s="1"/>
      <c r="D1" s="1"/>
      <c r="E1" s="1"/>
      <c r="F1" s="1"/>
      <c r="G1" s="1"/>
      <c r="H1" s="1"/>
      <c r="I1" s="1"/>
      <c r="J1" s="1"/>
    </row>
    <row r="2" spans="1:27">
      <c r="A2" s="3" t="s">
        <v>111</v>
      </c>
      <c r="B2" s="3"/>
      <c r="C2" s="3"/>
      <c r="D2" s="3"/>
      <c r="E2" s="3"/>
      <c r="F2" s="3"/>
      <c r="G2" s="3"/>
      <c r="H2" s="3"/>
      <c r="I2" s="3"/>
      <c r="J2" s="3"/>
    </row>
    <row r="3" spans="1:27" ht="46" customHeight="1">
      <c r="A3" s="2" t="s">
        <v>112</v>
      </c>
      <c r="B3" s="2" t="s">
        <v>113</v>
      </c>
      <c r="C3" s="2" t="s">
        <v>114</v>
      </c>
      <c r="D3" s="2" t="s">
        <v>115</v>
      </c>
      <c r="E3" s="2" t="s">
        <v>83</v>
      </c>
      <c r="F3" s="2" t="s">
        <v>27</v>
      </c>
      <c r="G3" s="2" t="s">
        <v>116</v>
      </c>
      <c r="H3" s="2" t="s">
        <v>117</v>
      </c>
      <c r="I3" s="2" t="s">
        <v>118</v>
      </c>
      <c r="J3" s="2" t="s">
        <v>97</v>
      </c>
      <c r="K3" s="2" t="s">
        <v>10</v>
      </c>
      <c r="L3" s="2" t="s">
        <v>86</v>
      </c>
      <c r="M3" s="2" t="s">
        <v>88</v>
      </c>
      <c r="N3" s="2" t="s">
        <v>99</v>
      </c>
      <c r="O3" s="2" t="s">
        <v>13</v>
      </c>
      <c r="P3" s="2" t="s">
        <v>101</v>
      </c>
      <c r="Q3" s="2" t="s">
        <v>102</v>
      </c>
      <c r="R3" s="2" t="s">
        <v>103</v>
      </c>
      <c r="S3" s="2" t="s">
        <v>89</v>
      </c>
      <c r="T3" s="2" t="s">
        <v>104</v>
      </c>
      <c r="U3" s="2" t="s">
        <v>105</v>
      </c>
      <c r="V3" s="2" t="s">
        <v>16</v>
      </c>
      <c r="W3" s="2" t="s">
        <v>108</v>
      </c>
      <c r="X3" s="2" t="s">
        <v>119</v>
      </c>
      <c r="Y3" s="2" t="s">
        <v>120</v>
      </c>
      <c r="Z3" s="2" t="s">
        <v>121</v>
      </c>
      <c r="AA3" s="2" t="s">
        <v>122</v>
      </c>
      <c r="AB3" t="inlineStr" s="2">
        <is>
          <t>¿Por qué probamos este caso? Relación con la app</t>
        </is>
      </c>
    </row>
    <row r="4" spans="1:27" ht="102" customHeight="1">
      <c r="A4" s="7" t="s">
        <v>123</v>
      </c>
      <c r="B4" s="7">
        <v>2500</v>
      </c>
      <c r="C4" s="7">
        <v>30</v>
      </c>
      <c r="D4" s="7" t="s">
        <v>81</v>
      </c>
      <c r="E4" s="7" t="s">
        <v>13</v>
      </c>
      <c r="F4" s="7" t="s">
        <v>32</v>
      </c>
      <c r="G4" s="7">
        <v>0</v>
      </c>
      <c r="H4" s="7">
        <v>0</v>
      </c>
      <c r="I4" s="7">
        <v>0</v>
      </c>
      <c r="J4" s="8">
        <f>ROUND(ROUND(B4/DiasMes*C4*100,8),0)/100</f>
        <v>2500.0</v>
      </c>
      <c r="K4" s="8">
        <f>IF(D4="Sí",ROUND(RMV*TasaAF,2),0)</f>
        <v>0.0</v>
      </c>
      <c r="L4" s="8">
        <f>ROUND(ROUND(B4/DiasMes/HorasDia*Factor25*G4*100,8),0)/100</f>
        <v>0.0</v>
      </c>
      <c r="M4" s="8">
        <f>ROUND(ROUND(B4/DiasMes/HorasDia*Factor35*H4*100,8),0)/100</f>
        <v>0.0</v>
      </c>
      <c r="N4" s="8">
        <f>SUM(J4:M4)</f>
        <v>2500.0</v>
      </c>
      <c r="O4" s="8">
        <f>IF(E4="ONP",ROUND(N4*TasaONP,2),0)</f>
        <v>325.0</v>
      </c>
      <c r="P4" s="8">
        <f>IF(E4="AFP",ROUND(N4*VLOOKUP(F4,'Parámetros'!$A$15:$D$19,2,FALSE),2),0)</f>
        <v>0.0</v>
      </c>
      <c r="Q4" s="8">
        <f>IF(E4="AFP",ROUND(N4*VLOOKUP(F4,'Parámetros'!$A$15:$D$19,3,FALSE),2),0)</f>
        <v>0.0</v>
      </c>
      <c r="R4" s="8">
        <f>IF(E4="AFP",ROUND(N4*VLOOKUP(F4,'Parámetros'!$A$15:$D$19,4,FALSE),2),0)</f>
        <v>0.0</v>
      </c>
      <c r="S4" s="8">
        <f>I4</f>
        <v>0.0</v>
      </c>
      <c r="T4" s="8">
        <f>SUM(O4:S4)</f>
        <v>325.0</v>
      </c>
      <c r="U4" s="8">
        <f>N4-T4</f>
        <v>2175.0</v>
      </c>
      <c r="V4" s="8">
        <f>ROUND(N4*TasaEsSalud,2)</f>
        <v>225.0</v>
      </c>
      <c r="W4" s="8">
        <f>N4+V4</f>
        <v>2725.0</v>
      </c>
      <c r="X4" s="8">
        <v>2175</v>
      </c>
      <c r="Y4" s="3" t="str">
        <f>IF(ROUND(U4-X4,2)=0,"COINCIDE","REVISAR")</f>
        <v>COINCIDE</v>
      </c>
      <c r="Z4" s="9">
        <f>U4/N4</f>
        <v>0.87</v>
      </c>
      <c r="AA4" s="3" t="s">
        <v>124</v>
      </c>
      <c r="AB4" t="inlineStr" s="13">
        <is>
          <t>Prueba básica: 2,500 − ONP 325 = neto 2,175. Sin hijos, extras ni adelantos, se observa la diferencia entre sueldo, pensión y EsSalud adicional.</t>
        </is>
      </c>
    </row>
    <row r="5" spans="1:27" ht="102" customHeight="1">
      <c r="A5" s="7" t="s">
        <v>125</v>
      </c>
      <c r="B5" s="7">
        <v>1800</v>
      </c>
      <c r="C5" s="7">
        <v>27</v>
      </c>
      <c r="D5" s="7" t="s">
        <v>126</v>
      </c>
      <c r="E5" s="7" t="s">
        <v>13</v>
      </c>
      <c r="F5" s="7" t="s">
        <v>32</v>
      </c>
      <c r="G5" s="7">
        <v>0</v>
      </c>
      <c r="H5" s="7">
        <v>0</v>
      </c>
      <c r="I5" s="7">
        <v>0</v>
      </c>
      <c r="J5" s="8">
        <f>ROUND(ROUND(B5/DiasMes*C5*100,8),0)/100</f>
        <v>1620.0</v>
      </c>
      <c r="K5" s="8">
        <f>IF(D5="Sí",ROUND(RMV*TasaAF,2),0)</f>
        <v>123.0</v>
      </c>
      <c r="L5" s="8">
        <f>ROUND(ROUND(B5/DiasMes/HorasDia*Factor25*G5*100,8),0)/100</f>
        <v>0.0</v>
      </c>
      <c r="M5" s="8">
        <f>ROUND(ROUND(B5/DiasMes/HorasDia*Factor35*H5*100,8),0)/100</f>
        <v>0.0</v>
      </c>
      <c r="N5" s="8">
        <f>SUM(J5:M5)</f>
        <v>1743.0</v>
      </c>
      <c r="O5" s="8">
        <f>IF(E5="ONP",ROUND(N5*TasaONP,2),0)</f>
        <v>226.59</v>
      </c>
      <c r="P5" s="8">
        <f>IF(E5="AFP",ROUND(N5*VLOOKUP(F5,'Parámetros'!$A$15:$D$19,2,FALSE),2),0)</f>
        <v>0.0</v>
      </c>
      <c r="Q5" s="8">
        <f>IF(E5="AFP",ROUND(N5*VLOOKUP(F5,'Parámetros'!$A$15:$D$19,3,FALSE),2),0)</f>
        <v>0.0</v>
      </c>
      <c r="R5" s="8">
        <f>IF(E5="AFP",ROUND(N5*VLOOKUP(F5,'Parámetros'!$A$15:$D$19,4,FALSE),2),0)</f>
        <v>0.0</v>
      </c>
      <c r="S5" s="8">
        <f>I5</f>
        <v>0.0</v>
      </c>
      <c r="T5" s="8">
        <f>SUM(O5:S5)</f>
        <v>226.59</v>
      </c>
      <c r="U5" s="8">
        <f>N5-T5</f>
        <v>1516.41</v>
      </c>
      <c r="V5" s="8">
        <f>ROUND(N5*TasaEsSalud,2)</f>
        <v>156.87</v>
      </c>
      <c r="W5" s="8">
        <f>N5+V5</f>
        <v>1899.87</v>
      </c>
      <c r="X5" s="8">
        <v>1516.41</v>
      </c>
      <c r="Y5" s="3" t="str">
        <f>IF(ROUND(U5-X5,2)=0,"COINCIDE","REVISAR")</f>
        <v>COINCIDE</v>
      </c>
      <c r="Z5" s="9">
        <f>U5/N5</f>
        <v>0.87</v>
      </c>
      <c r="AA5" s="3" t="s">
        <v>124</v>
      </c>
      <c r="AB5" t="inlineStr" s="13">
        <is>
          <t>Prueba días incompletos y asignación completa: 1,800 ÷ 30 × 27 = 1,620; más 123 = 1,743. ONP 226.59; neto 1,516.41. No se restan faltas nuevamente.</t>
        </is>
      </c>
    </row>
    <row r="6" spans="1:27" ht="102" customHeight="1">
      <c r="A6" s="7" t="s">
        <v>127</v>
      </c>
      <c r="B6" s="7">
        <v>3000</v>
      </c>
      <c r="C6" s="7">
        <v>30</v>
      </c>
      <c r="D6" s="7" t="s">
        <v>126</v>
      </c>
      <c r="E6" s="7" t="s">
        <v>27</v>
      </c>
      <c r="F6" s="7" t="s">
        <v>32</v>
      </c>
      <c r="G6" s="7">
        <v>4</v>
      </c>
      <c r="H6" s="7">
        <v>4</v>
      </c>
      <c r="I6" s="7">
        <v>200</v>
      </c>
      <c r="J6" s="8">
        <f>ROUND(ROUND(B6/DiasMes*C6*100,8),0)/100</f>
        <v>3000.0</v>
      </c>
      <c r="K6" s="8">
        <f>IF(D6="Sí",ROUND(RMV*TasaAF,2),0)</f>
        <v>123.0</v>
      </c>
      <c r="L6" s="8">
        <f>ROUND(ROUND(B6/DiasMes/HorasDia*Factor25*G6*100,8),0)/100</f>
        <v>62.5</v>
      </c>
      <c r="M6" s="8">
        <f>ROUND(ROUND(B6/DiasMes/HorasDia*Factor35*H6*100,8),0)/100</f>
        <v>67.5</v>
      </c>
      <c r="N6" s="8">
        <f>SUM(J6:M6)</f>
        <v>3253.0</v>
      </c>
      <c r="O6" s="8">
        <f>IF(E6="ONP",ROUND(N6*TasaONP,2),0)</f>
        <v>0.0</v>
      </c>
      <c r="P6" s="8">
        <f>IF(E6="AFP",ROUND(N6*VLOOKUP(F6,'Parámetros'!$A$15:$D$19,2,FALSE),2),0)</f>
        <v>325.3</v>
      </c>
      <c r="Q6" s="8">
        <f>IF(E6="AFP",ROUND(N6*VLOOKUP(F6,'Parámetros'!$A$15:$D$19,3,FALSE),2),0)</f>
        <v>52.05</v>
      </c>
      <c r="R6" s="8">
        <f>IF(E6="AFP",ROUND(N6*VLOOKUP(F6,'Parámetros'!$A$15:$D$19,4,FALSE),2),0)</f>
        <v>43.92</v>
      </c>
      <c r="S6" s="8">
        <f>I6</f>
        <v>200.0</v>
      </c>
      <c r="T6" s="8">
        <f>SUM(O6:S6)</f>
        <v>621.27</v>
      </c>
      <c r="U6" s="8">
        <f>N6-T6</f>
        <v>2631.73</v>
      </c>
      <c r="V6" s="8">
        <f>ROUND(N6*TasaEsSalud,2)</f>
        <v>292.77</v>
      </c>
      <c r="W6" s="8">
        <f>N6+V6</f>
        <v>3545.77</v>
      </c>
      <c r="X6" s="8">
        <v>2631.73</v>
      </c>
      <c r="Y6" s="3" t="str">
        <f>IF(ROUND(U6-X6,2)=0,"COINCIDE","REVISAR")</f>
        <v>COINCIDE</v>
      </c>
      <c r="Z6" s="9">
        <f>U6/N6</f>
        <v>0.8090162926529357</v>
      </c>
      <c r="AA6" s="3" t="s">
        <v>124</v>
      </c>
      <c r="AB6" t="inlineStr" s="13">
        <is>
          <t>Prueba AFP, ambos tramos de horas y adelanto. Remuneraciones 3,253; AFP 421.27; adelanto 200; neto 2,631.73. Permite explicar todos los bloques de la app.</t>
        </is>
      </c>
    </row>
    <row r="7" spans="1:27" ht="102" customHeight="1">
      <c r="A7" s="7" t="s">
        <v>128</v>
      </c>
      <c r="B7" s="7">
        <v>4200</v>
      </c>
      <c r="C7" s="7">
        <v>24</v>
      </c>
      <c r="D7" s="7" t="s">
        <v>126</v>
      </c>
      <c r="E7" s="7" t="s">
        <v>27</v>
      </c>
      <c r="F7" s="7" t="s">
        <v>32</v>
      </c>
      <c r="G7" s="7">
        <v>2</v>
      </c>
      <c r="H7" s="7">
        <v>2</v>
      </c>
      <c r="I7" s="7">
        <v>100</v>
      </c>
      <c r="J7" s="8">
        <f>ROUND(ROUND(B7/DiasMes*C7*100,8),0)/100</f>
        <v>3360.0</v>
      </c>
      <c r="K7" s="8">
        <f>IF(D7="Sí",ROUND(RMV*TasaAF,2),0)</f>
        <v>123.0</v>
      </c>
      <c r="L7" s="8">
        <f>ROUND(ROUND(B7/DiasMes/HorasDia*Factor25*G7*100,8),0)/100</f>
        <v>43.75</v>
      </c>
      <c r="M7" s="8">
        <f>ROUND(ROUND(B7/DiasMes/HorasDia*Factor35*H7*100,8),0)/100</f>
        <v>47.25</v>
      </c>
      <c r="N7" s="8">
        <f>SUM(J7:M7)</f>
        <v>3574.0</v>
      </c>
      <c r="O7" s="8">
        <f>IF(E7="ONP",ROUND(N7*TasaONP,2),0)</f>
        <v>0.0</v>
      </c>
      <c r="P7" s="8">
        <f>IF(E7="AFP",ROUND(N7*VLOOKUP(F7,'Parámetros'!$A$15:$D$19,2,FALSE),2),0)</f>
        <v>357.4</v>
      </c>
      <c r="Q7" s="8">
        <f>IF(E7="AFP",ROUND(N7*VLOOKUP(F7,'Parámetros'!$A$15:$D$19,3,FALSE),2),0)</f>
        <v>57.18</v>
      </c>
      <c r="R7" s="8">
        <f>IF(E7="AFP",ROUND(N7*VLOOKUP(F7,'Parámetros'!$A$15:$D$19,4,FALSE),2),0)</f>
        <v>48.25</v>
      </c>
      <c r="S7" s="8">
        <f>I7</f>
        <v>100.0</v>
      </c>
      <c r="T7" s="8">
        <f>SUM(O7:S7)</f>
        <v>562.83</v>
      </c>
      <c r="U7" s="8">
        <f>N7-T7</f>
        <v>3011.17</v>
      </c>
      <c r="V7" s="8">
        <f>ROUND(N7*TasaEsSalud,2)</f>
        <v>321.66</v>
      </c>
      <c r="W7" s="8">
        <f>N7+V7</f>
        <v>3895.66</v>
      </c>
      <c r="Y7" s="3" t="s">
        <v>129</v>
      </c>
      <c r="Z7" s="9">
        <f>U7/N7</f>
        <v>0.8425209848908786</v>
      </c>
      <c r="AA7" s="3" t="s">
        <v>124</v>
      </c>
      <c r="AB7" t="inlineStr" s="13">
        <is>
          <t>Prueba conjunta con 24 días, hijos, AFP, extras y adelanto. Neto calculado 3,011.17. La guía no publica respuesta oficial para este caso; se entrega para revisión.</t>
        </is>
      </c>
    </row>
    <row r="8" spans="1:27" ht="102" customHeight="1">
      <c r="A8" s="7" t="s">
        <v>130</v>
      </c>
      <c r="B8" s="7">
        <v>3500</v>
      </c>
      <c r="C8" s="7">
        <v>30</v>
      </c>
      <c r="D8" s="7" t="s">
        <v>81</v>
      </c>
      <c r="E8" s="7" t="s">
        <v>13</v>
      </c>
      <c r="F8" s="7" t="s">
        <v>32</v>
      </c>
      <c r="G8" s="7">
        <v>0</v>
      </c>
      <c r="H8" s="7">
        <v>0</v>
      </c>
      <c r="I8" s="7">
        <v>0</v>
      </c>
      <c r="J8" s="8">
        <f>ROUND(ROUND(B8/DiasMes*C8*100,8),0)/100</f>
        <v>3500.0</v>
      </c>
      <c r="K8" s="8">
        <f>IF(D8="Sí",ROUND(RMV*TasaAF,2),0)</f>
        <v>0.0</v>
      </c>
      <c r="L8" s="8">
        <f>ROUND(ROUND(B8/DiasMes/HorasDia*Factor25*G8*100,8),0)/100</f>
        <v>0.0</v>
      </c>
      <c r="M8" s="8">
        <f>ROUND(ROUND(B8/DiasMes/HorasDia*Factor35*H8*100,8),0)/100</f>
        <v>0.0</v>
      </c>
      <c r="N8" s="8">
        <f>SUM(J8:M8)</f>
        <v>3500.0</v>
      </c>
      <c r="O8" s="8">
        <f>IF(E8="ONP",ROUND(N8*TasaONP,2),0)</f>
        <v>455.0</v>
      </c>
      <c r="P8" s="8">
        <f>IF(E8="AFP",ROUND(N8*VLOOKUP(F8,'Parámetros'!$A$15:$D$19,2,FALSE),2),0)</f>
        <v>0.0</v>
      </c>
      <c r="Q8" s="8">
        <f>IF(E8="AFP",ROUND(N8*VLOOKUP(F8,'Parámetros'!$A$15:$D$19,3,FALSE),2),0)</f>
        <v>0.0</v>
      </c>
      <c r="R8" s="8">
        <f>IF(E8="AFP",ROUND(N8*VLOOKUP(F8,'Parámetros'!$A$15:$D$19,4,FALSE),2),0)</f>
        <v>0.0</v>
      </c>
      <c r="S8" s="8">
        <f>I8</f>
        <v>0.0</v>
      </c>
      <c r="T8" s="8">
        <f>SUM(O8:S8)</f>
        <v>455.0</v>
      </c>
      <c r="U8" s="8">
        <f>N8-T8</f>
        <v>3045.0</v>
      </c>
      <c r="V8" s="8">
        <f>ROUND(N8*TasaEsSalud,2)</f>
        <v>315.0</v>
      </c>
      <c r="W8" s="8">
        <f>N8+V8</f>
        <v>3815.0</v>
      </c>
      <c r="Y8" s="3" t="s">
        <v>131</v>
      </c>
      <c r="Z8" s="9">
        <f>U8/N8</f>
        <v>0.87</v>
      </c>
      <c r="AA8" s="3" t="s">
        <v>62</v>
      </c>
      <c r="AB8" t="inlineStr" s="13">
        <is>
          <t>Aplica el mismo modelo de la app a un sueldo de oferta documentada. Los demás datos son supuestos académicos. No es una boleta real de la empresa anunciante.</t>
        </is>
      </c>
    </row>
    <row r="9" spans="1:27" ht="102" customHeight="1">
      <c r="A9" s="7" t="s">
        <v>132</v>
      </c>
      <c r="B9" s="7">
        <v>3750</v>
      </c>
      <c r="C9" s="7">
        <v>30</v>
      </c>
      <c r="D9" s="7" t="s">
        <v>81</v>
      </c>
      <c r="E9" s="7" t="s">
        <v>27</v>
      </c>
      <c r="F9" s="7" t="s">
        <v>37</v>
      </c>
      <c r="G9" s="7">
        <v>0</v>
      </c>
      <c r="H9" s="7">
        <v>0</v>
      </c>
      <c r="I9" s="7">
        <v>0</v>
      </c>
      <c r="J9" s="8">
        <f>ROUND(ROUND(B9/DiasMes*C9*100,8),0)/100</f>
        <v>3750.0</v>
      </c>
      <c r="K9" s="8">
        <f>IF(D9="Sí",ROUND(RMV*TasaAF,2),0)</f>
        <v>0.0</v>
      </c>
      <c r="L9" s="8">
        <f>ROUND(ROUND(B9/DiasMes/HorasDia*Factor25*G9*100,8),0)/100</f>
        <v>0.0</v>
      </c>
      <c r="M9" s="8">
        <f>ROUND(ROUND(B9/DiasMes/HorasDia*Factor35*H9*100,8),0)/100</f>
        <v>0.0</v>
      </c>
      <c r="N9" s="8">
        <f>SUM(J9:M9)</f>
        <v>3750.0</v>
      </c>
      <c r="O9" s="8">
        <f>IF(E9="ONP",ROUND(N9*TasaONP,2),0)</f>
        <v>0.0</v>
      </c>
      <c r="P9" s="8">
        <f>IF(E9="AFP",ROUND(N9*VLOOKUP(F9,'Parámetros'!$A$15:$D$19,2,FALSE),2),0)</f>
        <v>375.0</v>
      </c>
      <c r="Q9" s="8">
        <f>IF(E9="AFP",ROUND(N9*VLOOKUP(F9,'Parámetros'!$A$15:$D$19,3,FALSE),2),0)</f>
        <v>60.0</v>
      </c>
      <c r="R9" s="8">
        <f>IF(E9="AFP",ROUND(N9*VLOOKUP(F9,'Parámetros'!$A$15:$D$19,4,FALSE),2),0)</f>
        <v>51.38</v>
      </c>
      <c r="S9" s="8">
        <f>I9</f>
        <v>0.0</v>
      </c>
      <c r="T9" s="8">
        <f>SUM(O9:S9)</f>
        <v>486.38</v>
      </c>
      <c r="U9" s="8">
        <f>N9-T9</f>
        <v>3263.62</v>
      </c>
      <c r="V9" s="8">
        <f>ROUND(N9*TasaEsSalud,2)</f>
        <v>337.5</v>
      </c>
      <c r="W9" s="8">
        <f>N9+V9</f>
        <v>4087.5</v>
      </c>
      <c r="Y9" s="3" t="s">
        <v>131</v>
      </c>
      <c r="Z9" s="9">
        <f>U9/N9</f>
        <v>0.8702986666666667</v>
      </c>
      <c r="AA9" s="3" t="s">
        <v>62</v>
      </c>
      <c r="AB9" t="inlineStr" s="13">
        <is>
          <t>Escenario de sensibilidad con otra remuneración y AFP Prima de flujo. Es un cálculo para comparar; no representa una boleta enviada por un compañero.</t>
        </is>
      </c>
    </row>
    <row r="10" spans="1:27" ht="102" customHeight="1">
      <c r="A10" s="7" t="s">
        <v>133</v>
      </c>
      <c r="B10" s="7">
        <v>4000</v>
      </c>
      <c r="C10" s="7">
        <v>30</v>
      </c>
      <c r="D10" s="7" t="s">
        <v>81</v>
      </c>
      <c r="E10" s="7" t="s">
        <v>27</v>
      </c>
      <c r="F10" s="7" t="s">
        <v>34</v>
      </c>
      <c r="G10" s="7">
        <v>0</v>
      </c>
      <c r="H10" s="7">
        <v>0</v>
      </c>
      <c r="I10" s="7">
        <v>0</v>
      </c>
      <c r="J10" s="8">
        <f>ROUND(ROUND(B10/DiasMes*C10*100,8),0)/100</f>
        <v>4000.0</v>
      </c>
      <c r="K10" s="8">
        <f>IF(D10="Sí",ROUND(RMV*TasaAF,2),0)</f>
        <v>0.0</v>
      </c>
      <c r="L10" s="8">
        <f>ROUND(ROUND(B10/DiasMes/HorasDia*Factor25*G10*100,8),0)/100</f>
        <v>0.0</v>
      </c>
      <c r="M10" s="8">
        <f>ROUND(ROUND(B10/DiasMes/HorasDia*Factor35*H10*100,8),0)/100</f>
        <v>0.0</v>
      </c>
      <c r="N10" s="8">
        <f>SUM(J10:M10)</f>
        <v>4000.0</v>
      </c>
      <c r="O10" s="8">
        <f>IF(E10="ONP",ROUND(N10*TasaONP,2),0)</f>
        <v>0.0</v>
      </c>
      <c r="P10" s="8">
        <f>IF(E10="AFP",ROUND(N10*VLOOKUP(F10,'Parámetros'!$A$15:$D$19,2,FALSE),2),0)</f>
        <v>400.0</v>
      </c>
      <c r="Q10" s="8">
        <f>IF(E10="AFP",ROUND(N10*VLOOKUP(F10,'Parámetros'!$A$15:$D$19,3,FALSE),2),0)</f>
        <v>58.8</v>
      </c>
      <c r="R10" s="8">
        <f>IF(E10="AFP",ROUND(N10*VLOOKUP(F10,'Parámetros'!$A$15:$D$19,4,FALSE),2),0)</f>
        <v>54.8</v>
      </c>
      <c r="S10" s="8">
        <f>I10</f>
        <v>0.0</v>
      </c>
      <c r="T10" s="8">
        <f>SUM(O10:S10)</f>
        <v>513.6</v>
      </c>
      <c r="U10" s="8">
        <f>N10-T10</f>
        <v>3486.4</v>
      </c>
      <c r="V10" s="8">
        <f>ROUND(N10*TasaEsSalud,2)</f>
        <v>360.0</v>
      </c>
      <c r="W10" s="8">
        <f>N10+V10</f>
        <v>4360.0</v>
      </c>
      <c r="Y10" s="3" t="s">
        <v>131</v>
      </c>
      <c r="Z10" s="9">
        <f>U10/N10</f>
        <v>0.8716</v>
      </c>
      <c r="AA10" s="3" t="s">
        <v>62</v>
      </c>
      <c r="AB10" t="inlineStr" s="13">
        <is>
          <t>Escenario de sensibilidad con otra remuneración y AFP Habitat de flujo. Es un cálculo para comparar; no representa una boleta enviada por un compañero.</t>
        </is>
      </c>
    </row>
    <row r="11" spans="1:27" ht="102" customHeight="1">
      <c r="A11" s="7" t="s">
        <v>134</v>
      </c>
      <c r="B11" s="7">
        <v>3000</v>
      </c>
      <c r="C11" s="7">
        <v>30</v>
      </c>
      <c r="D11" s="7" t="s">
        <v>126</v>
      </c>
      <c r="E11" s="7" t="s">
        <v>13</v>
      </c>
      <c r="F11" s="7" t="s">
        <v>32</v>
      </c>
      <c r="G11" s="7">
        <v>4</v>
      </c>
      <c r="H11" s="7">
        <v>4</v>
      </c>
      <c r="I11" s="7">
        <v>200</v>
      </c>
      <c r="J11" s="8">
        <f>ROUND(ROUND(B11/DiasMes*C11*100,8),0)/100</f>
        <v>3000.0</v>
      </c>
      <c r="K11" s="8">
        <f>IF(D11="Sí",ROUND(RMV*TasaAF,2),0)</f>
        <v>123.0</v>
      </c>
      <c r="L11" s="8">
        <f>ROUND(ROUND(B11/DiasMes/HorasDia*Factor25*G11*100,8),0)/100</f>
        <v>62.5</v>
      </c>
      <c r="M11" s="8">
        <f>ROUND(ROUND(B11/DiasMes/HorasDia*Factor35*H11*100,8),0)/100</f>
        <v>67.5</v>
      </c>
      <c r="N11" s="8">
        <f>SUM(J11:M11)</f>
        <v>3253.0</v>
      </c>
      <c r="O11" s="8">
        <f>IF(E11="ONP",ROUND(N11*TasaONP,2),0)</f>
        <v>422.89</v>
      </c>
      <c r="P11" s="8">
        <f>IF(E11="AFP",ROUND(N11*VLOOKUP(F11,'Parámetros'!$A$15:$D$19,2,FALSE),2),0)</f>
        <v>0.0</v>
      </c>
      <c r="Q11" s="8">
        <f>IF(E11="AFP",ROUND(N11*VLOOKUP(F11,'Parámetros'!$A$15:$D$19,3,FALSE),2),0)</f>
        <v>0.0</v>
      </c>
      <c r="R11" s="8">
        <f>IF(E11="AFP",ROUND(N11*VLOOKUP(F11,'Parámetros'!$A$15:$D$19,4,FALSE),2),0)</f>
        <v>0.0</v>
      </c>
      <c r="S11" s="8">
        <f>I11</f>
        <v>200.0</v>
      </c>
      <c r="T11" s="8">
        <f>SUM(O11:S11)</f>
        <v>622.89</v>
      </c>
      <c r="U11" s="8">
        <f>N11-T11</f>
        <v>2630.11</v>
      </c>
      <c r="V11" s="8">
        <f>ROUND(N11*TasaEsSalud,2)</f>
        <v>292.77</v>
      </c>
      <c r="W11" s="8">
        <f>N11+V11</f>
        <v>3545.77</v>
      </c>
      <c r="Y11" s="3" t="s">
        <v>131</v>
      </c>
      <c r="Z11" s="9">
        <f>U11/N11</f>
        <v>0.8085182908084845</v>
      </c>
      <c r="AA11" s="3" t="s">
        <v>124</v>
      </c>
      <c r="AB11" t="inlineStr" s="13">
        <is>
          <t>Cambia únicamente el sistema del caso 3 a ONP: neto 2,630.11 frente a 2,631.73 con AFP Ejemplo. La diferencia es 1.62 con las tasas de prueba; no decide qué pensión conviene.</t>
        </is>
      </c>
    </row>
    <row r="12" spans="1:27" ht="102" customHeight="1">
      <c r="A12" s="7" t="s">
        <v>135</v>
      </c>
      <c r="B12" s="7">
        <v>1800</v>
      </c>
      <c r="C12" s="7">
        <v>30</v>
      </c>
      <c r="D12" s="7" t="s">
        <v>126</v>
      </c>
      <c r="E12" s="7" t="s">
        <v>13</v>
      </c>
      <c r="F12" s="7" t="s">
        <v>32</v>
      </c>
      <c r="G12" s="7">
        <v>0</v>
      </c>
      <c r="H12" s="7">
        <v>0</v>
      </c>
      <c r="I12" s="7">
        <v>0</v>
      </c>
      <c r="J12" s="8">
        <f>ROUND(ROUND(B12/DiasMes*C12*100,8),0)/100</f>
        <v>1800.0</v>
      </c>
      <c r="K12" s="8">
        <f>IF(D12="Sí",ROUND(RMV*TasaAF,2),0)</f>
        <v>123.0</v>
      </c>
      <c r="L12" s="8">
        <f>ROUND(ROUND(B12/DiasMes/HorasDia*Factor25*G12*100,8),0)/100</f>
        <v>0.0</v>
      </c>
      <c r="M12" s="8">
        <f>ROUND(ROUND(B12/DiasMes/HorasDia*Factor35*H12*100,8),0)/100</f>
        <v>0.0</v>
      </c>
      <c r="N12" s="8">
        <f>SUM(J12:M12)</f>
        <v>1923.0</v>
      </c>
      <c r="O12" s="8">
        <f>IF(E12="ONP",ROUND(N12*TasaONP,2),0)</f>
        <v>249.99</v>
      </c>
      <c r="P12" s="8">
        <f>IF(E12="AFP",ROUND(N12*VLOOKUP(F12,'Parámetros'!$A$15:$D$19,2,FALSE),2),0)</f>
        <v>0.0</v>
      </c>
      <c r="Q12" s="8">
        <f>IF(E12="AFP",ROUND(N12*VLOOKUP(F12,'Parámetros'!$A$15:$D$19,3,FALSE),2),0)</f>
        <v>0.0</v>
      </c>
      <c r="R12" s="8">
        <f>IF(E12="AFP",ROUND(N12*VLOOKUP(F12,'Parámetros'!$A$15:$D$19,4,FALSE),2),0)</f>
        <v>0.0</v>
      </c>
      <c r="S12" s="8">
        <f>I12</f>
        <v>0.0</v>
      </c>
      <c r="T12" s="8">
        <f>SUM(O12:S12)</f>
        <v>249.99</v>
      </c>
      <c r="U12" s="8">
        <f>N12-T12</f>
        <v>1673.01</v>
      </c>
      <c r="V12" s="8">
        <f>ROUND(N12*TasaEsSalud,2)</f>
        <v>173.07</v>
      </c>
      <c r="W12" s="8">
        <f>N12+V12</f>
        <v>2096.07</v>
      </c>
      <c r="Y12" s="3" t="s">
        <v>131</v>
      </c>
      <c r="Z12" s="9">
        <f>U12/N12</f>
        <v>0.87</v>
      </c>
      <c r="AA12" s="3" t="s">
        <v>124</v>
      </c>
      <c r="AB12" t="inlineStr" s="13">
        <is>
          <t>Cambia el caso 2 de 27 a 30 días. Neto 1,673.01. Aumenta 156.60 porque los 180 adicionales también generan 23.40 de ONP. La asignación no cambia.</t>
        </is>
      </c>
    </row>
    <row r="13" spans="1:27" ht="102" customHeight="1">
      <c r="A13" s="7" t="s">
        <v>136</v>
      </c>
      <c r="B13" s="7">
        <v>1234.56</v>
      </c>
      <c r="C13" s="7">
        <v>19</v>
      </c>
      <c r="D13" s="7" t="s">
        <v>126</v>
      </c>
      <c r="E13" s="7" t="s">
        <v>27</v>
      </c>
      <c r="F13" s="7" t="s">
        <v>32</v>
      </c>
      <c r="G13" s="7">
        <v>1.25</v>
      </c>
      <c r="H13" s="7">
        <v>2.75</v>
      </c>
      <c r="I13" s="7">
        <v>10.01</v>
      </c>
      <c r="J13" s="8">
        <f>ROUND(ROUND(B13/DiasMes*C13*100,8),0)/100</f>
        <v>781.89</v>
      </c>
      <c r="K13" s="8">
        <f>IF(D13="Sí",ROUND(RMV*TasaAF,2),0)</f>
        <v>123.0</v>
      </c>
      <c r="L13" s="8">
        <f>ROUND(ROUND(B13/DiasMes/HorasDia*Factor25*G13*100,8),0)/100</f>
        <v>8.04</v>
      </c>
      <c r="M13" s="8">
        <f>ROUND(ROUND(B13/DiasMes/HorasDia*Factor35*H13*100,8),0)/100</f>
        <v>19.1</v>
      </c>
      <c r="N13" s="8">
        <f>SUM(J13:M13)</f>
        <v>932.03</v>
      </c>
      <c r="O13" s="8">
        <f>IF(E13="ONP",ROUND(N13*TasaONP,2),0)</f>
        <v>0.0</v>
      </c>
      <c r="P13" s="8">
        <f>IF(E13="AFP",ROUND(N13*VLOOKUP(F13,'Parámetros'!$A$15:$D$19,2,FALSE),2),0)</f>
        <v>93.2</v>
      </c>
      <c r="Q13" s="8">
        <f>IF(E13="AFP",ROUND(N13*VLOOKUP(F13,'Parámetros'!$A$15:$D$19,3,FALSE),2),0)</f>
        <v>14.91</v>
      </c>
      <c r="R13" s="8">
        <f>IF(E13="AFP",ROUND(N13*VLOOKUP(F13,'Parámetros'!$A$15:$D$19,4,FALSE),2),0)</f>
        <v>12.58</v>
      </c>
      <c r="S13" s="8">
        <f>I13</f>
        <v>10.01</v>
      </c>
      <c r="T13" s="8">
        <f>SUM(O13:S13)</f>
        <v>130.7</v>
      </c>
      <c r="U13" s="8">
        <f>N13-T13</f>
        <v>801.33</v>
      </c>
      <c r="V13" s="8">
        <f>ROUND(N13*TasaEsSalud,2)</f>
        <v>83.88</v>
      </c>
      <c r="W13" s="8">
        <f>N13+V13</f>
        <v>1015.91</v>
      </c>
      <c r="Y13" s="3" t="s">
        <v>131</v>
      </c>
      <c r="Z13" s="9">
        <f>U13/N13</f>
        <v>0.8597684623885498</v>
      </c>
      <c r="AA13" s="3" t="s">
        <v>124</v>
      </c>
      <c r="AB13" t="inlineStr" s="13">
        <is>
          <t>Prueba precisión con días incompletos, horas fraccionarias y adelanto con céntimos. El valor hora no se redondea antes de calcular cada tramo.</t>
        </is>
      </c>
    </row>
    <row r="14" spans="1:27" ht="102" customHeight="1">
      <c r="A14" s="7" t="s">
        <v>137</v>
      </c>
      <c r="B14" s="7">
        <v>240.96</v>
      </c>
      <c r="C14" s="7">
        <v>30</v>
      </c>
      <c r="D14" s="7" t="s">
        <v>81</v>
      </c>
      <c r="E14" s="7" t="s">
        <v>13</v>
      </c>
      <c r="F14" s="7" t="s">
        <v>32</v>
      </c>
      <c r="G14" s="7">
        <v>1</v>
      </c>
      <c r="H14" s="7">
        <v>0</v>
      </c>
      <c r="I14" s="7">
        <v>0</v>
      </c>
      <c r="J14" s="8">
        <f>ROUND(ROUND(B14/DiasMes*C14*100,8),0)/100</f>
        <v>240.96</v>
      </c>
      <c r="K14" s="8">
        <f>IF(D14="Sí",ROUND(RMV*TasaAF,2),0)</f>
        <v>0.0</v>
      </c>
      <c r="L14" s="8">
        <f>ROUND(ROUND(B14/DiasMes/HorasDia*Factor25*G14*100,8),0)/100</f>
        <v>1.26</v>
      </c>
      <c r="M14" s="8">
        <f>ROUND(ROUND(B14/DiasMes/HorasDia*Factor35*H14*100,8),0)/100</f>
        <v>0.0</v>
      </c>
      <c r="N14" s="8">
        <f>SUM(J14:M14)</f>
        <v>242.22</v>
      </c>
      <c r="O14" s="8">
        <f>IF(E14="ONP",ROUND(N14*TasaONP,2),0)</f>
        <v>31.49</v>
      </c>
      <c r="P14" s="8">
        <f>IF(E14="AFP",ROUND(N14*VLOOKUP(F14,'Parámetros'!$A$15:$D$19,2,FALSE),2),0)</f>
        <v>0.0</v>
      </c>
      <c r="Q14" s="8">
        <f>IF(E14="AFP",ROUND(N14*VLOOKUP(F14,'Parámetros'!$A$15:$D$19,3,FALSE),2),0)</f>
        <v>0.0</v>
      </c>
      <c r="R14" s="8">
        <f>IF(E14="AFP",ROUND(N14*VLOOKUP(F14,'Parámetros'!$A$15:$D$19,4,FALSE),2),0)</f>
        <v>0.0</v>
      </c>
      <c r="S14" s="8">
        <f>I14</f>
        <v>0.0</v>
      </c>
      <c r="T14" s="8">
        <f>SUM(O14:S14)</f>
        <v>31.49</v>
      </c>
      <c r="U14" s="8">
        <f>N14-T14</f>
        <v>210.73</v>
      </c>
      <c r="V14" s="8">
        <f>ROUND(N14*TasaEsSalud,2)</f>
        <v>21.8</v>
      </c>
      <c r="W14" s="8">
        <f>N14+V14</f>
        <v>264.02</v>
      </c>
      <c r="Y14" s="3" t="s">
        <v>131</v>
      </c>
      <c r="Z14" s="9">
        <f>U14/N14</f>
        <v>0.8699942201304599</v>
      </c>
      <c r="AA14" s="3" t="s">
        <v>124</v>
      </c>
      <c r="AB14" t="inlineStr" s="13">
        <is>
          <t>Prueba el medio céntimo: básico 240.96 y una HE25 producen 1.255 antes del redondeo; el concepto debe quedar en 1.26. Así se contrasta el redondeo con el modelo Swift.</t>
        </is>
      </c>
    </row>
    <row r="15" spans="1:27" ht="102" customHeight="1">
      <c r="A15" s="7" t="s">
        <v>138</v>
      </c>
      <c r="B15" s="7">
        <v>2500</v>
      </c>
      <c r="C15" s="7">
        <v>30</v>
      </c>
      <c r="D15" s="7" t="s">
        <v>81</v>
      </c>
      <c r="E15" s="7" t="s">
        <v>13</v>
      </c>
      <c r="F15" s="7" t="s">
        <v>32</v>
      </c>
      <c r="G15" s="7">
        <v>0</v>
      </c>
      <c r="H15" s="7">
        <v>0</v>
      </c>
      <c r="I15" s="7">
        <v>3000</v>
      </c>
      <c r="J15" s="8">
        <f>ROUND(ROUND(B15/DiasMes*C15*100,8),0)/100</f>
        <v>2500.0</v>
      </c>
      <c r="K15" s="8">
        <f>IF(D15="Sí",ROUND(RMV*TasaAF,2),0)</f>
        <v>0.0</v>
      </c>
      <c r="L15" s="8">
        <f>ROUND(ROUND(B15/DiasMes/HorasDia*Factor25*G15*100,8),0)/100</f>
        <v>0.0</v>
      </c>
      <c r="M15" s="8">
        <f>ROUND(ROUND(B15/DiasMes/HorasDia*Factor35*H15*100,8),0)/100</f>
        <v>0.0</v>
      </c>
      <c r="N15" s="8">
        <f>SUM(J15:M15)</f>
        <v>2500.0</v>
      </c>
      <c r="O15" s="8">
        <f>IF(E15="ONP",ROUND(N15*TasaONP,2),0)</f>
        <v>325.0</v>
      </c>
      <c r="P15" s="8">
        <f>IF(E15="AFP",ROUND(N15*VLOOKUP(F15,'Parámetros'!$A$15:$D$19,2,FALSE),2),0)</f>
        <v>0.0</v>
      </c>
      <c r="Q15" s="8">
        <f>IF(E15="AFP",ROUND(N15*VLOOKUP(F15,'Parámetros'!$A$15:$D$19,3,FALSE),2),0)</f>
        <v>0.0</v>
      </c>
      <c r="R15" s="8">
        <f>IF(E15="AFP",ROUND(N15*VLOOKUP(F15,'Parámetros'!$A$15:$D$19,4,FALSE),2),0)</f>
        <v>0.0</v>
      </c>
      <c r="S15" s="8">
        <f>I15</f>
        <v>3000.0</v>
      </c>
      <c r="T15" s="8">
        <f>SUM(O15:S15)</f>
        <v>3325.0</v>
      </c>
      <c r="U15" s="8">
        <f>N15-T15</f>
        <v>-825.0</v>
      </c>
      <c r="V15" s="8">
        <f>ROUND(N15*TasaEsSalud,2)</f>
        <v>225.0</v>
      </c>
      <c r="W15" s="8">
        <f>N15+V15</f>
        <v>2725.0</v>
      </c>
      <c r="Y15" s="3" t="s">
        <v>131</v>
      </c>
      <c r="Z15" s="9">
        <f>U15/N15</f>
        <v>-0.33</v>
      </c>
      <c r="AA15" s="3" t="s">
        <v>124</v>
      </c>
      <c r="AB15" t="inlineStr" s="13">
        <is>
          <t>Prueba un adelanto mayor que lo disponible. El neto queda negativo y la app pide revisar el adelanto. El modelo no lo reemplaza por cero.</t>
        </is>
      </c>
    </row>
    <row r="16" spans="1:27" ht="102" customHeight="1">
      <c r="A16" s="7" t="s">
        <v>139</v>
      </c>
      <c r="B16" s="7">
        <v>2345.67</v>
      </c>
      <c r="C16" s="7">
        <v>1</v>
      </c>
      <c r="D16" s="7" t="s">
        <v>126</v>
      </c>
      <c r="E16" s="7" t="s">
        <v>27</v>
      </c>
      <c r="F16" s="7" t="s">
        <v>34</v>
      </c>
      <c r="G16" s="7">
        <v>0.5</v>
      </c>
      <c r="H16" s="7">
        <v>0.25</v>
      </c>
      <c r="I16" s="7">
        <v>1.01</v>
      </c>
      <c r="J16" s="8">
        <f>ROUND(ROUND(B16/DiasMes*C16*100,8),0)/100</f>
        <v>78.19</v>
      </c>
      <c r="K16" s="8">
        <f>IF(D16="Sí",ROUND(RMV*TasaAF,2),0)</f>
        <v>123.0</v>
      </c>
      <c r="L16" s="8">
        <f>ROUND(ROUND(B16/DiasMes/HorasDia*Factor25*G16*100,8),0)/100</f>
        <v>6.11</v>
      </c>
      <c r="M16" s="8">
        <f>ROUND(ROUND(B16/DiasMes/HorasDia*Factor35*H16*100,8),0)/100</f>
        <v>3.3</v>
      </c>
      <c r="N16" s="8">
        <f>SUM(J16:M16)</f>
        <v>210.6</v>
      </c>
      <c r="O16" s="8">
        <f>IF(E16="ONP",ROUND(N16*TasaONP,2),0)</f>
        <v>0.0</v>
      </c>
      <c r="P16" s="8">
        <f>IF(E16="AFP",ROUND(N16*VLOOKUP(F16,'Parámetros'!$A$15:$D$19,2,FALSE),2),0)</f>
        <v>21.06</v>
      </c>
      <c r="Q16" s="8">
        <f>IF(E16="AFP",ROUND(N16*VLOOKUP(F16,'Parámetros'!$A$15:$D$19,3,FALSE),2),0)</f>
        <v>3.1</v>
      </c>
      <c r="R16" s="8">
        <f>IF(E16="AFP",ROUND(N16*VLOOKUP(F16,'Parámetros'!$A$15:$D$19,4,FALSE),2),0)</f>
        <v>2.89</v>
      </c>
      <c r="S16" s="8">
        <f>I16</f>
        <v>1.01</v>
      </c>
      <c r="T16" s="8">
        <f>SUM(O16:S16)</f>
        <v>28.06</v>
      </c>
      <c r="U16" s="8">
        <f>N16-T16</f>
        <v>182.54</v>
      </c>
      <c r="V16" s="8">
        <f>ROUND(N16*TasaEsSalud,2)</f>
        <v>18.95</v>
      </c>
      <c r="W16" s="8">
        <f>N16+V16</f>
        <v>229.55</v>
      </c>
      <c r="Y16" s="3" t="s">
        <v>131</v>
      </c>
      <c r="Z16" s="9">
        <f>U16/N16</f>
        <v>0.8667616334283</v>
      </c>
      <c r="AA16" s="3" t="s">
        <v>124</v>
      </c>
      <c r="AB16" t="inlineStr" s="13">
        <is>
          <t>Prueba la búsqueda de tasas de esta AFP de flujo con las mismas entradas del resto de AFP reales. Solo cambia el perfil seleccionado; fondo, comisión y seguro se redondean por separado.</t>
        </is>
      </c>
    </row>
    <row r="17" spans="1:27" ht="102" customHeight="1">
      <c r="A17" s="7" t="s">
        <v>140</v>
      </c>
      <c r="B17" s="7">
        <v>2345.67</v>
      </c>
      <c r="C17" s="7">
        <v>1</v>
      </c>
      <c r="D17" s="7" t="s">
        <v>126</v>
      </c>
      <c r="E17" s="7" t="s">
        <v>27</v>
      </c>
      <c r="F17" s="7" t="s">
        <v>36</v>
      </c>
      <c r="G17" s="7">
        <v>0.5</v>
      </c>
      <c r="H17" s="7">
        <v>0.25</v>
      </c>
      <c r="I17" s="7">
        <v>1.01</v>
      </c>
      <c r="J17" s="8">
        <f>ROUND(ROUND(B17/DiasMes*C17*100,8),0)/100</f>
        <v>78.19</v>
      </c>
      <c r="K17" s="8">
        <f>IF(D17="Sí",ROUND(RMV*TasaAF,2),0)</f>
        <v>123.0</v>
      </c>
      <c r="L17" s="8">
        <f>ROUND(ROUND(B17/DiasMes/HorasDia*Factor25*G17*100,8),0)/100</f>
        <v>6.11</v>
      </c>
      <c r="M17" s="8">
        <f>ROUND(ROUND(B17/DiasMes/HorasDia*Factor35*H17*100,8),0)/100</f>
        <v>3.3</v>
      </c>
      <c r="N17" s="8">
        <f>SUM(J17:M17)</f>
        <v>210.6</v>
      </c>
      <c r="O17" s="8">
        <f>IF(E17="ONP",ROUND(N17*TasaONP,2),0)</f>
        <v>0.0</v>
      </c>
      <c r="P17" s="8">
        <f>IF(E17="AFP",ROUND(N17*VLOOKUP(F17,'Parámetros'!$A$15:$D$19,2,FALSE),2),0)</f>
        <v>21.06</v>
      </c>
      <c r="Q17" s="8">
        <f>IF(E17="AFP",ROUND(N17*VLOOKUP(F17,'Parámetros'!$A$15:$D$19,3,FALSE),2),0)</f>
        <v>3.26</v>
      </c>
      <c r="R17" s="8">
        <f>IF(E17="AFP",ROUND(N17*VLOOKUP(F17,'Parámetros'!$A$15:$D$19,4,FALSE),2),0)</f>
        <v>2.89</v>
      </c>
      <c r="S17" s="8">
        <f>I17</f>
        <v>1.01</v>
      </c>
      <c r="T17" s="8">
        <f>SUM(O17:S17)</f>
        <v>28.22</v>
      </c>
      <c r="U17" s="8">
        <f>N17-T17</f>
        <v>182.38</v>
      </c>
      <c r="V17" s="8">
        <f>ROUND(N17*TasaEsSalud,2)</f>
        <v>18.95</v>
      </c>
      <c r="W17" s="8">
        <f>N17+V17</f>
        <v>229.55</v>
      </c>
      <c r="Y17" s="3" t="s">
        <v>131</v>
      </c>
      <c r="Z17" s="9">
        <f>U17/N17</f>
        <v>0.8660018993352326</v>
      </c>
      <c r="AA17" s="3" t="s">
        <v>124</v>
      </c>
      <c r="AB17" t="inlineStr" s="13">
        <is>
          <t>Prueba la búsqueda de tasas de esta AFP de flujo con las mismas entradas del resto de AFP reales. Solo cambia el perfil seleccionado; fondo, comisión y seguro se redondean por separado.</t>
        </is>
      </c>
    </row>
    <row r="18" spans="1:27" ht="102" customHeight="1">
      <c r="A18" s="7" t="s">
        <v>141</v>
      </c>
      <c r="B18" s="7">
        <v>2345.67</v>
      </c>
      <c r="C18" s="7">
        <v>1</v>
      </c>
      <c r="D18" s="7" t="s">
        <v>126</v>
      </c>
      <c r="E18" s="7" t="s">
        <v>27</v>
      </c>
      <c r="F18" s="7" t="s">
        <v>37</v>
      </c>
      <c r="G18" s="7">
        <v>0.5</v>
      </c>
      <c r="H18" s="7">
        <v>0.25</v>
      </c>
      <c r="I18" s="7">
        <v>1.01</v>
      </c>
      <c r="J18" s="8">
        <f>ROUND(ROUND(B18/DiasMes*C18*100,8),0)/100</f>
        <v>78.19</v>
      </c>
      <c r="K18" s="8">
        <f>IF(D18="Sí",ROUND(RMV*TasaAF,2),0)</f>
        <v>123.0</v>
      </c>
      <c r="L18" s="8">
        <f>ROUND(ROUND(B18/DiasMes/HorasDia*Factor25*G18*100,8),0)/100</f>
        <v>6.11</v>
      </c>
      <c r="M18" s="8">
        <f>ROUND(ROUND(B18/DiasMes/HorasDia*Factor35*H18*100,8),0)/100</f>
        <v>3.3</v>
      </c>
      <c r="N18" s="8">
        <f>SUM(J18:M18)</f>
        <v>210.6</v>
      </c>
      <c r="O18" s="8">
        <f>IF(E18="ONP",ROUND(N18*TasaONP,2),0)</f>
        <v>0.0</v>
      </c>
      <c r="P18" s="8">
        <f>IF(E18="AFP",ROUND(N18*VLOOKUP(F18,'Parámetros'!$A$15:$D$19,2,FALSE),2),0)</f>
        <v>21.06</v>
      </c>
      <c r="Q18" s="8">
        <f>IF(E18="AFP",ROUND(N18*VLOOKUP(F18,'Parámetros'!$A$15:$D$19,3,FALSE),2),0)</f>
        <v>3.37</v>
      </c>
      <c r="R18" s="8">
        <f>IF(E18="AFP",ROUND(N18*VLOOKUP(F18,'Parámetros'!$A$15:$D$19,4,FALSE),2),0)</f>
        <v>2.89</v>
      </c>
      <c r="S18" s="8">
        <f>I18</f>
        <v>1.01</v>
      </c>
      <c r="T18" s="8">
        <f>SUM(O18:S18)</f>
        <v>28.33</v>
      </c>
      <c r="U18" s="8">
        <f>N18-T18</f>
        <v>182.27</v>
      </c>
      <c r="V18" s="8">
        <f>ROUND(N18*TasaEsSalud,2)</f>
        <v>18.95</v>
      </c>
      <c r="W18" s="8">
        <f>N18+V18</f>
        <v>229.55</v>
      </c>
      <c r="Y18" s="3" t="s">
        <v>131</v>
      </c>
      <c r="Z18" s="9">
        <f>U18/N18</f>
        <v>0.8654795821462489</v>
      </c>
      <c r="AA18" s="3" t="s">
        <v>124</v>
      </c>
      <c r="AB18" t="inlineStr" s="13">
        <is>
          <t>Prueba la búsqueda de tasas de esta AFP de flujo con las mismas entradas del resto de AFP reales. Solo cambia el perfil seleccionado; fondo, comisión y seguro se redondean por separado.</t>
        </is>
      </c>
    </row>
    <row r="19" spans="1:27" ht="102" customHeight="1">
      <c r="A19" s="7" t="s">
        <v>142</v>
      </c>
      <c r="B19" s="7">
        <v>2345.67</v>
      </c>
      <c r="C19" s="7">
        <v>1</v>
      </c>
      <c r="D19" s="7" t="s">
        <v>126</v>
      </c>
      <c r="E19" s="7" t="s">
        <v>27</v>
      </c>
      <c r="F19" s="7" t="s">
        <v>38</v>
      </c>
      <c r="G19" s="7">
        <v>0.5</v>
      </c>
      <c r="H19" s="7">
        <v>0.25</v>
      </c>
      <c r="I19" s="7">
        <v>1.01</v>
      </c>
      <c r="J19" s="8">
        <f>ROUND(ROUND(B19/DiasMes*C19*100,8),0)/100</f>
        <v>78.19</v>
      </c>
      <c r="K19" s="8">
        <f>IF(D19="Sí",ROUND(RMV*TasaAF,2),0)</f>
        <v>123.0</v>
      </c>
      <c r="L19" s="8">
        <f>ROUND(ROUND(B19/DiasMes/HorasDia*Factor25*G19*100,8),0)/100</f>
        <v>6.11</v>
      </c>
      <c r="M19" s="8">
        <f>ROUND(ROUND(B19/DiasMes/HorasDia*Factor35*H19*100,8),0)/100</f>
        <v>3.3</v>
      </c>
      <c r="N19" s="8">
        <f>SUM(J19:M19)</f>
        <v>210.6</v>
      </c>
      <c r="O19" s="8">
        <f>IF(E19="ONP",ROUND(N19*TasaONP,2),0)</f>
        <v>0.0</v>
      </c>
      <c r="P19" s="8">
        <f>IF(E19="AFP",ROUND(N19*VLOOKUP(F19,'Parámetros'!$A$15:$D$19,2,FALSE),2),0)</f>
        <v>21.06</v>
      </c>
      <c r="Q19" s="8">
        <f>IF(E19="AFP",ROUND(N19*VLOOKUP(F19,'Parámetros'!$A$15:$D$19,3,FALSE),2),0)</f>
        <v>3.56</v>
      </c>
      <c r="R19" s="8">
        <f>IF(E19="AFP",ROUND(N19*VLOOKUP(F19,'Parámetros'!$A$15:$D$19,4,FALSE),2),0)</f>
        <v>2.89</v>
      </c>
      <c r="S19" s="8">
        <f>I19</f>
        <v>1.01</v>
      </c>
      <c r="T19" s="8">
        <f>SUM(O19:S19)</f>
        <v>28.52</v>
      </c>
      <c r="U19" s="8">
        <f>N19-T19</f>
        <v>182.08</v>
      </c>
      <c r="V19" s="8">
        <f>ROUND(N19*TasaEsSalud,2)</f>
        <v>18.95</v>
      </c>
      <c r="W19" s="8">
        <f>N19+V19</f>
        <v>229.55</v>
      </c>
      <c r="Y19" s="3" t="s">
        <v>131</v>
      </c>
      <c r="Z19" s="9">
        <f>U19/N19</f>
        <v>0.8645773979107313</v>
      </c>
      <c r="AA19" s="3" t="s">
        <v>124</v>
      </c>
      <c r="AB19" t="inlineStr" s="13">
        <is>
          <t>Prueba la búsqueda de tasas de esta AFP de flujo con las mismas entradas del resto de AFP reales. Solo cambia el perfil seleccionado; fondo, comisión y seguro se redondean por separado.</t>
        </is>
      </c>
    </row>
    <row r="23" spans="1:27">
      <c r="A23" s="2" t="s">
        <v>143</v>
      </c>
      <c r="B23" s="2"/>
      <c r="C23" s="2"/>
      <c r="D23" s="2"/>
      <c r="E23" s="2"/>
      <c r="F23" s="2"/>
      <c r="G23" s="2"/>
      <c r="H23" s="2"/>
      <c r="I23" s="2"/>
    </row>
    <row r="24" spans="1:27">
      <c r="A24" s="2" t="s">
        <v>144</v>
      </c>
      <c r="B24" s="2" t="s">
        <v>145</v>
      </c>
      <c r="C24" s="2" t="s">
        <v>113</v>
      </c>
      <c r="D24" s="2" t="s">
        <v>106</v>
      </c>
      <c r="E24" s="2" t="s">
        <v>146</v>
      </c>
      <c r="F24" s="2" t="s">
        <v>147</v>
      </c>
    </row>
    <row r="25" spans="1:27">
      <c r="A25" s="7" t="s">
        <v>148</v>
      </c>
      <c r="E25" s="9">
        <f>IF(AND(ISNUMBER(C25),ISNUMBER(D25),C25&gt;0),D25/C25,"")</f>
        <v/>
      </c>
      <c r="F25" s="3" t="s">
        <v>149</v>
      </c>
    </row>
    <row r="26" spans="1:27">
      <c r="A26" s="7" t="s">
        <v>148</v>
      </c>
      <c r="E26" s="9">
        <f>IF(AND(ISNUMBER(C26),ISNUMBER(D26),C26&gt;0),D26/C26,"")</f>
        <v/>
      </c>
      <c r="F26" s="3" t="s">
        <v>149</v>
      </c>
    </row>
  </sheetData>
  <autoFilter ref="A3:AA19"/>
  <mergeCells count="3">
    <mergeCell ref="A1:J1"/>
    <mergeCell ref="A2:J2"/>
    <mergeCell ref="A23:I23"/>
  </mergeCells>
  <conditionalFormatting sqref="Y4:Y19">
    <cfRule type="containsText" dxfId="0" priority="1" operator="containsText" text="REVISAR">
      <formula>NOT(ISERROR(SEARCH("REVISAR",Y4)))</formula>
    </cfRule>
  </conditionalFormatting>
  <hyperlinks>
    <hyperlink ref="AA8" r:id="rId1"/>
    <hyperlink ref="AA9" r:id="rId2"/>
    <hyperlink ref="AA10" r:id="rId3"/>
  </hyperlinks>
  <pageMargins left="0.7" right="0.7" top="0.75" bottom="0.75" header="0.3" footer="0.3"/>
  <pageSetup fitToHeight="0" orientation="landscape"/>
</worksheet>
</file>

<file path=xl/worksheets/sheet4.xml><?xml version="1.0" encoding="utf-8"?>
<worksheet xmlns="http://schemas.openxmlformats.org/spreadsheetml/2006/main">
  <sheetPr>
    <pageSetUpPr fitToPage="1"/>
  </sheetPr>
  <dimension ref="A1:D46"/>
  <sheetViews>
    <sheetView showGridLines="0" workbookViewId="0">
      <pane xSplit="1" ySplit="3" topLeftCell="B4" activePane="bottomRight" state="frozen"/>
      <selection pane="topRight" activeCell="B1" sqref="B1"/>
      <selection pane="bottomLeft" activeCell="A4" sqref="A4"/>
      <selection pane="bottomRight"/>
    </sheetView>
  </sheetViews>
  <sheetFormatPr defaultRowHeight="15"/>
  <cols>
    <col min="1" max="1" width="28.7109375" customWidth="1"/>
    <col min="2" max="3" width="65.7109375" customWidth="1"/>
    <col min="4" max="4" width="90.7109375" customWidth="1"/>
  </cols>
  <sheetData>
    <row r="1" spans="1:4">
      <c r="A1" s="1" t="s">
        <v>150</v>
      </c>
      <c r="B1" s="1"/>
      <c r="C1" s="1"/>
      <c r="D1" s="1"/>
    </row>
    <row r="3" spans="1:4">
      <c r="A3" s="2" t="s">
        <v>93</v>
      </c>
      <c r="B3" s="2" t="s">
        <v>151</v>
      </c>
      <c r="C3" s="2" t="s">
        <v>152</v>
      </c>
      <c r="D3" s="2" t="s">
        <v>153</v>
      </c>
    </row>
    <row r="4" spans="1:4" ht="96.0" customHeight="1">
      <c r="A4" s="3" t="s">
        <v>97</v>
      </c>
      <c r="B4" s="12" t="inlineStr">
        <is>
          <t>Básico ÷ 30 × días. Primero obtenemos el valor diario y después reconocemos los días del modelo. Las faltas ya están reflejadas aquí; no se descuentan otra vez.</t>
        </is>
      </c>
      <c r="C4" s="12" t="inlineStr">
        <is>
          <t>1,800 ÷ 30 × 27 = S/ 1,620.</t>
        </is>
      </c>
      <c r="D4" s="3" t="s">
        <v>156</v>
      </c>
    </row>
    <row r="5" spans="1:4" ht="96.0" customHeight="1">
      <c r="A5" s="3" t="s">
        <v>10</v>
      </c>
      <c r="B5" s="12" t="inlineStr">
        <is>
          <t>Si corresponde, RMV × 10%. Se añade porque es un ingreso remunerativo incluido por la guía. Su importe depende de la RMV del perfil, no del sueldo básico.</t>
        </is>
      </c>
      <c r="C5" s="12" t="inlineStr">
        <is>
          <t>1,230 × 10% = S/ 123 completos.</t>
        </is>
      </c>
      <c r="D5" s="3" t="s">
        <v>159</v>
      </c>
    </row>
    <row r="6" spans="1:4" ht="96.0" customHeight="1">
      <c r="A6" s="3" t="s">
        <v>86</v>
      </c>
      <c r="B6" s="12" t="inlineStr">
        <is>
          <t>Básico ÷ 30 ÷ 8 × 1.25 × HE25. Convertimos el sueldo mensual a valor hora y pagamos la hora completa con recargo.</t>
        </is>
      </c>
      <c r="C6" s="12" t="inlineStr">
        <is>
          <t>3,000 ÷ 30 ÷ 8 = 12.50; 12.50 × 1.25 × 4 = S/ 62.50.</t>
        </is>
      </c>
      <c r="D6" s="3" t="s">
        <v>162</v>
      </c>
    </row>
    <row r="7" spans="1:4" ht="96.0" customHeight="1">
      <c r="A7" s="3" t="s">
        <v>88</v>
      </c>
      <c r="B7" s="12" t="inlineStr">
        <is>
          <t>Básico ÷ 30 ÷ 8 × 1.35 × HE35. El segundo tramo tiene una sobretasa mayor.</t>
        </is>
      </c>
      <c r="C7" s="12" t="inlineStr">
        <is>
          <t>12.50 × 1.35 × 4 = S/ 67.50.</t>
        </is>
      </c>
      <c r="D7" s="3" t="s">
        <v>165</v>
      </c>
    </row>
    <row r="8" spans="1:4" ht="96.0" customHeight="1">
      <c r="A8" s="3" t="s">
        <v>99</v>
      </c>
      <c r="B8" s="12" t="inlineStr">
        <is>
          <t>Sumamos sueldo computable, asignación y ambos tramos de horas extras. Es lo generado antes de descuentos y la base de pensión y EsSalud del laboratorio.</t>
        </is>
      </c>
      <c r="C8" s="12" t="inlineStr">
        <is>
          <t>3,000 + 123 + 62.50 + 67.50 = S/ 3,253.</t>
        </is>
      </c>
      <c r="D8" s="3" t="s">
        <v>168</v>
      </c>
    </row>
    <row r="9" spans="1:4" ht="96.0" customHeight="1">
      <c r="A9" s="3" t="s">
        <v>13</v>
      </c>
      <c r="B9" s="12" t="inlineStr">
        <is>
          <t>Total de remuneraciones × 13%, solo con ONP. El aporte se calcula sobre lo remunerativo incluido, no sobre el neto.</t>
        </is>
      </c>
      <c r="C9" s="12" t="inlineStr">
        <is>
          <t>3,253 × 13% = S/ 422.89. Con AFP, esta fila vale 0.</t>
        </is>
      </c>
      <c r="D9" s="3" t="s">
        <v>171</v>
      </c>
    </row>
    <row r="10" spans="1:4" ht="96.0" customHeight="1">
      <c r="A10" s="3" t="s">
        <v>101</v>
      </c>
      <c r="B10" s="12" t="inlineStr">
        <is>
          <t>Total × tasa de fondo de la AFP seleccionada. Representa el aporte al fondo previsional.</t>
        </is>
      </c>
      <c r="C10" s="12" t="inlineStr">
        <is>
          <t>Con AFP Ejemplo: 3,253 × 10% = S/ 325.30.</t>
        </is>
      </c>
      <c r="D10" s="3" t="s">
        <v>174</v>
      </c>
    </row>
    <row r="11" spans="1:4" ht="96.0" customHeight="1">
      <c r="A11" s="3" t="s">
        <v>102</v>
      </c>
      <c r="B11" s="12" t="inlineStr">
        <is>
          <t>Total × comisión de la AFP seleccionada. Se presenta aparte porque corresponde a administración, no al ahorro del fondo.</t>
        </is>
      </c>
      <c r="C11" s="12" t="inlineStr">
        <is>
          <t>3,253 × 1.60% = 52.048; se redondea a S/ 52.05.</t>
        </is>
      </c>
      <c r="D11" s="3" t="s">
        <v>177</v>
      </c>
    </row>
    <row r="12" spans="1:4" ht="96.0" customHeight="1">
      <c r="A12" s="3" t="s">
        <v>103</v>
      </c>
      <c r="B12" s="12" t="inlineStr">
        <is>
          <t>Total × prima de seguro de la AFP seleccionada. Se separa para distinguir la cobertura previsional de fondo y comisión.</t>
        </is>
      </c>
      <c r="C12" s="12" t="inlineStr">
        <is>
          <t>3,253 × 1.35% = 43.9155; se redondea a S/ 43.92.</t>
        </is>
      </c>
      <c r="D12" s="3" t="s">
        <v>180</v>
      </c>
    </row>
    <row r="13" spans="1:4" ht="96.0" customHeight="1">
      <c r="A13" s="3" t="s">
        <v>89</v>
      </c>
      <c r="B13" s="12" t="inlineStr">
        <is>
          <t>Se toma el adelanto ingresado sin aplicarle tasas. Lo retiramos del pago pendiente porque ya se entregó.</t>
        </is>
      </c>
      <c r="C13" s="12" t="inlineStr">
        <is>
          <t>Si recibió S/ 200 antes, ahora se descuentan esos S/ 200 del depósito pendiente.</t>
        </is>
      </c>
      <c r="D13" s="3" t="s">
        <v>183</v>
      </c>
    </row>
    <row r="14" spans="1:4" ht="96.0" customHeight="1">
      <c r="A14" s="3" t="s">
        <v>104</v>
      </c>
      <c r="B14" s="12" t="inlineStr">
        <is>
          <t>Se suman las retenciones previsionales aplicables y el adelanto. Las filas del sistema no elegido quedan en cero.</t>
        </is>
      </c>
      <c r="C14" s="12" t="inlineStr">
        <is>
          <t>AFP Ejemplo: 325.30 + 52.05 + 43.92 + 200 = S/ 621.27.</t>
        </is>
      </c>
      <c r="D14" s="3" t="s">
        <v>186</v>
      </c>
    </row>
    <row r="15" spans="1:4" ht="96.0" customHeight="1">
      <c r="A15" s="3" t="s">
        <v>105</v>
      </c>
      <c r="B15" s="12" t="inlineStr">
        <is>
          <t>Remuneraciones menos descuentos. Indica cuánto falta pagar, después de considerar la pensión y el adelanto.</t>
        </is>
      </c>
      <c r="C15" s="12" t="inlineStr">
        <is>
          <t>3,253 − 621.27 = S/ 2,631.73.</t>
        </is>
      </c>
      <c r="D15" s="3" t="s">
        <v>189</v>
      </c>
    </row>
    <row r="16" spans="1:4" ht="96.0" customHeight="1">
      <c r="A16" s="3" t="s">
        <v>16</v>
      </c>
      <c r="B16" s="12" t="inlineStr">
        <is>
          <t>Total de remuneraciones × 9%. Se muestra aparte porque lo financia el empleador.</t>
        </is>
      </c>
      <c r="C16" s="12" t="inlineStr">
        <is>
          <t>3,253 × 9% = S/ 292.77; no se resta de B28.</t>
        </is>
      </c>
      <c r="D16" s="3" t="s">
        <v>192</v>
      </c>
    </row>
    <row r="17" spans="1:4" ht="96.0" customHeight="1">
      <c r="A17" s="3" t="s">
        <v>108</v>
      </c>
      <c r="B17" s="12" t="inlineStr">
        <is>
          <t>Remuneraciones más EsSalud. Muestra el costo simplificado que pide la actividad. No es el costo anual completo.</t>
        </is>
      </c>
      <c r="C17" s="12" t="inlineStr">
        <is>
          <t>3,253 + 292.77 = S/ 3,545.77.</t>
        </is>
      </c>
      <c r="D17" s="3" t="s">
        <v>195</v>
      </c>
    </row>
    <row r="19" spans="1:4">
      <c r="A19" s="3" t="s">
        <v>196</v>
      </c>
      <c r="B19" s="3"/>
      <c r="C19" s="3"/>
      <c r="D19" s="3"/>
    </row>
    <row r="20" spans="1:4">
      <c r="A20" s="3"/>
      <c r="B20" s="3"/>
      <c r="C20" s="3"/>
      <c r="D20" s="3"/>
    </row>
    <row r="22" spans="1:4">
      <c r="A22" s="3" t="s">
        <v>197</v>
      </c>
      <c r="B22" s="3"/>
      <c r="C22" s="3"/>
      <c r="D22" s="3"/>
    </row>
    <row r="23" spans="1:4">
      <c r="A23" s="3"/>
      <c r="B23" s="3"/>
      <c r="C23" s="3"/>
      <c r="D23" s="3"/>
    </row>
    <row r="25" spans="1:4">
      <c r="A25" s="3" t="s">
        <v>198</v>
      </c>
      <c r="B25" s="3"/>
      <c r="C25" s="3"/>
      <c r="D25" s="3"/>
    </row>
    <row r="26" spans="1:4">
      <c r="A26" s="3"/>
      <c r="B26" s="3"/>
      <c r="C26" s="3"/>
      <c r="D26" s="3"/>
    </row>
    <row r="29" ht="30" customHeight="1">
      <c r="A29" t="inlineStr" s="2">
        <is>
          <t>ENTENDER EL EXCEL SEGÚN LO QUE HACE LA APP</t>
        </is>
      </c>
    </row>
    <row r="30" ht="70.0" customHeight="1">
      <c r="A30" t="inlineStr" s="12">
        <is>
          <t>Orden del cálculo</t>
        </is>
      </c>
      <c r="B30" t="inlineStr" s="12">
        <is>
          <t>La app recibe los datos, valida y calcula. Primero obtiene sueldo por días, asignación y horas extras; luego suma remuneraciones; después aplica ONP o AFP y adelantos; finalmente muestra el neto y EsSalud separado. El Excel sigue el mismo orden.</t>
        </is>
      </c>
    </row>
    <row r="31" ht="70.0" customHeight="1">
      <c r="A31" t="inlineStr" s="12">
        <is>
          <t>¿Por qué 30 y 8?</t>
        </is>
      </c>
      <c r="B31" t="inlineStr" s="12">
        <is>
          <t>Son las constantes del modelo: 30 convierte el sueldo mensual a valor diario y 8 convierte ese valor a hora. Ejemplo fijo: 3,000 ÷ 30 ÷ 8 = S/ 12.50. La app no pregunta otra jornada ni usa la cantidad de días del calendario.</t>
        </is>
      </c>
    </row>
    <row r="32" ht="70.0" customHeight="1">
      <c r="A32" t="inlineStr" s="12">
        <is>
          <t>¿Por qué 1.25 y 1.35?</t>
        </is>
      </c>
      <c r="B32" t="inlineStr" s="12">
        <is>
          <t>Incluyen el valor de la hora completa y su recargo. 1.25 = 1 + 0.25; 1.35 = 1 + 0.35. Con valor hora de S/ 12.50, cuatro horas de cada tramo producen S/ 62.50 y S/ 67.50. La app recibe cada cantidad ya separada.</t>
        </is>
      </c>
    </row>
    <row r="33" ht="70.0" customHeight="1">
      <c r="A33" t="inlineStr" s="12">
        <is>
          <t>Inasistencias: una sola vez</t>
        </is>
      </c>
      <c r="B33" t="inlineStr" s="12">
        <is>
          <t>Básico 1,800 y 27 días: 1,800 ÷ 30 × 27 = S/ 1,620. La reducción de S/ 180 ya está en el sueldo computable. Por eso no hay otra fila de descuento por faltas. La app no clasifica descansos médicos o licencias.</t>
        </is>
      </c>
    </row>
    <row r="34" ht="70.0" customHeight="1">
      <c r="A34" t="inlineStr" s="12">
        <is>
          <t>¿Por qué S/ 123?</t>
        </is>
      </c>
      <c r="B34" t="inlineStr" s="12">
        <is>
          <t>La app usa la RMV académica de S/ 1,230 y la tasa 10%: 1,230 × 0.10 = 123. Si hijos es Sí, suma ese importe completo; si es No, suma cero. El básico del trabajador no interviene en este cálculo.</t>
        </is>
      </c>
    </row>
    <row r="35" ht="70.0" customHeight="1">
      <c r="A35" t="inlineStr" s="12">
        <is>
          <t>Base de las retenciones</t>
        </is>
      </c>
      <c r="B35" t="inlineStr" s="12">
        <is>
          <t>En este ejercicio, sueldo computable, asignación y horas extras forman el total de remuneraciones. Sobre ese total se aplica la pensión y EsSalud. El adelanto se resta después: no disminuye esta base.</t>
        </is>
      </c>
    </row>
    <row r="36" ht="70.0" customHeight="1">
      <c r="A36" t="inlineStr" s="12">
        <is>
          <t>ONP o AFP</t>
        </is>
      </c>
      <c r="B36" t="inlineStr" s="12">
        <is>
          <t>El selector de sistema elige una sola alternativa. Si eliges ONP, las tres filas AFP muestran cero. Si eliges AFP, ONP muestra cero y las tasas dependen de la AFP seleccionada. AFP Ejemplo conserva las tasas ficticias de la guía.</t>
        </is>
      </c>
    </row>
    <row r="37" ht="70.0" customHeight="1">
      <c r="A37" t="inlineStr" s="12">
        <is>
          <t>Adelanto no es una multa</t>
        </is>
      </c>
      <c r="B37" t="inlineStr" s="12">
        <is>
          <t>Es una parte del pago que ya se entregó. En el caso 3, antes del adelanto quedan S/ 2,831.73 después de AFP. Como ya se pagaron S/ 200, el depósito pendiente es S/ 2,631.73. El adelanto no cambia lo ganado ni la pensión calculada.</t>
        </is>
      </c>
    </row>
    <row r="38" ht="70.0" customHeight="1">
      <c r="A38" t="inlineStr" s="12">
        <is>
          <t>Redondear antes de sumar</t>
        </is>
      </c>
      <c r="B38" t="inlineStr" s="12">
        <is>
          <t>Cada concepto termina con dos decimales antes de sumarse. Comisión: 52.048 → 52.05; seguro: 43.9155 → 43.92. La app usa Decimal y el Excel REDONDEAR. No se redondea el valor hora intermedio; el doble ROUND estabiliza residuos numéricos del Excel.</t>
        </is>
      </c>
    </row>
    <row r="39" ht="70.0" customHeight="1">
      <c r="A39" t="inlineStr" s="12">
        <is>
          <t>¿Qué significa cada cero?</t>
        </is>
      </c>
      <c r="B39" t="inlineStr" s="12">
        <is>
          <t>Un cero puede indicar que no corresponde un concepto: sin hijos, asignación cero; sin sobretiempo, extras cero; ONP elegida, AFP cero. Se conservan esas filas para entender el desglose, como ocurre en la app.</t>
        </is>
      </c>
    </row>
    <row r="40" ht="70.0" customHeight="1">
      <c r="A40" t="inlineStr" s="12">
        <is>
          <t>Validación y límites</t>
        </is>
      </c>
      <c r="B40" t="inlineStr" s="12">
        <is>
          <t>Como en la app: básico mayor que cero hasta S/ 100,000,000; días enteros 1–30; horas 0–10,000 por tramo; adelanto 0–100,000,000; importes y horas con hasta dos decimales. Los máximos son límites técnicos del ejercicio, no derechos laborales.</t>
        </is>
      </c>
    </row>
    <row r="41" ht="70.0" customHeight="1">
      <c r="A41" t="inlineStr" s="12">
        <is>
          <t>Si el neto es negativo</t>
        </is>
      </c>
      <c r="B41" t="inlineStr" s="12">
        <is>
          <t>El modelo permite mostrarlo para detectar un adelanto excesivo; no lo convierte en cero. Ejemplo fijo: remuneraciones 2,500 − ONP 325 − adelanto 3,000 = −825. La app pide revisar el adelanto.</t>
        </is>
      </c>
    </row>
    <row r="42" ht="70.0" customHeight="1">
      <c r="A42" t="inlineStr" s="12">
        <is>
          <t>EsSalud y costo</t>
        </is>
      </c>
      <c r="B42" t="inlineStr" s="12">
        <is>
          <t>Con remuneraciones 3,253, EsSalud es 3,253 × 9% = S/ 292.77. Lo asume la empresa. El Excel añade el costo simplificado: 3,253 + 292.77 = S/ 3,545.77. Ese costo existe en el modelo, pero la pantalla actual muestra EsSalud y neto, sin una fila de costo.</t>
        </is>
      </c>
    </row>
    <row r="43" ht="70.0" customHeight="1">
      <c r="A43" t="inlineStr" s="12">
        <is>
          <t>Cómo leer las fórmulas</t>
        </is>
      </c>
      <c r="B43" t="inlineStr" s="12">
        <is>
          <t>SI selecciona la regla; SUMA reúne conceptos; BUSCARV recupera tasas AFP; REDONDEAR fija céntimos; FORMULATEXTO muestra la fórmula. RMV y DiasMes son nombres de celdas de Parámetros. Los signos $ fijan referencias al copiar fórmulas.</t>
        </is>
      </c>
    </row>
    <row r="44" ht="70.0" customHeight="1">
      <c r="A44" t="inlineStr" s="12">
        <is>
          <t>Ejemplos y actualización</t>
        </is>
      </c>
      <c r="B44" t="inlineStr" s="12">
        <is>
          <t>Los ejemplos numéricos de esta hoja son textos fijos para estudiar los casos originales. Los resultados vivos están en Boleta y Casos. Excel recalcula con cálculo automático; en la app debes pulsar Calcular de nuevo después de editar.</t>
        </is>
      </c>
    </row>
    <row r="45" ht="70.0" customHeight="1">
      <c r="A45" t="inlineStr" s="12">
        <is>
          <t>Alcance de esta versión</t>
        </is>
      </c>
      <c r="B45" t="inlineStr" s="12">
        <is>
          <t>Se explica solo lo implementado: sueldo por días, asignación, horas extras, ONP/AFP, adelantos, neto y EsSalud. La app no tiene selector de régimen laboral ni calcula CTS, gratificaciones, vacaciones o quinta categoría. ONP/AFP es sistema de pensiones, no régimen laboral.</t>
        </is>
      </c>
    </row>
    <row r="46" ht="70.0" customHeight="1">
      <c r="A46" t="inlineStr" s="12">
        <is>
          <t>Prueba para exponer</t>
        </is>
      </c>
      <c r="B46" t="inlineStr" s="12">
        <is>
          <t>Caso 3: básico 3,000; días 30; hijos Sí; AFP Ejemplo; HE25 4; HE35 4; adelanto 200. Remuneraciones S/ 3,253; descuentos S/ 621.27; neto S/ 2,631.73; EsSalud S/ 292.77. Ingresa los mismos datos en la app y compara concepto por concepto.</t>
        </is>
      </c>
    </row>
  </sheetData>
  <mergeCells count="22">
    <mergeCell ref="A1:D1"/>
    <mergeCell ref="A19:D20"/>
    <mergeCell ref="A22:D23"/>
    <mergeCell ref="A25:D26"/>
    <mergeCell ref="A29:D29"/>
    <mergeCell ref="B30:D30"/>
    <mergeCell ref="B31:D31"/>
    <mergeCell ref="B32:D32"/>
    <mergeCell ref="B33:D33"/>
    <mergeCell ref="B34:D34"/>
    <mergeCell ref="B35:D35"/>
    <mergeCell ref="B36:D36"/>
    <mergeCell ref="B37:D37"/>
    <mergeCell ref="B38:D38"/>
    <mergeCell ref="B39:D39"/>
    <mergeCell ref="B40:D40"/>
    <mergeCell ref="B41:D41"/>
    <mergeCell ref="B42:D42"/>
    <mergeCell ref="B43:D43"/>
    <mergeCell ref="B44:D44"/>
    <mergeCell ref="B45:D45"/>
    <mergeCell ref="B46:D46"/>
  </mergeCells>
  <pageMargins left="0.7" right="0.7" top="0.75" bottom="0.75"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10</vt:i4>
      </vt:variant>
    </vt:vector>
  </HeadingPairs>
  <TitlesOfParts>
    <vt:vector size="14" baseType="lpstr">
      <vt:lpstr>Parámetros</vt:lpstr>
      <vt:lpstr>Boleta</vt:lpstr>
      <vt:lpstr>Casos</vt:lpstr>
      <vt:lpstr>Explicación</vt:lpstr>
      <vt:lpstr>DiasMes</vt:lpstr>
      <vt:lpstr>Factor25</vt:lpstr>
      <vt:lpstr>Factor35</vt:lpstr>
      <vt:lpstr>HorasDia</vt:lpstr>
      <vt:lpstr>ListaAFP</vt:lpstr>
      <vt:lpstr>Boleta!Print_Area</vt:lpstr>
      <vt:lpstr>RMV</vt:lpstr>
      <vt:lpstr>TasaAF</vt:lpstr>
      <vt:lpstr>TasaEsSalud</vt:lpstr>
      <vt:lpstr>TasaONP</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Boleta de pago: del sueldo al neto</dc:title>
  <dc:subject>Semana 9 · niveles 1 y 2</dc:subject>
  <dc:creator>Equipo Semana 9</dc:creator>
  <cp:lastModifiedBy>Equipo Semana 9</cp:lastModifiedBy>
  <dcterms:created xsi:type="dcterms:W3CDTF">2026-10-27T17:34:43Z</dcterms:created>
  <dcterms:modified xsi:type="dcterms:W3CDTF">2026-10-27T17:34:43Z</dcterms:modified>
</cp:coreProperties>
</file>